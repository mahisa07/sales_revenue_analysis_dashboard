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530" yWindow="600" windowWidth="13120" windowHeight="5490" firstSheet="1" activeTab="1"/>
  </bookViews>
  <sheets>
    <sheet name="Summary" sheetId="3" r:id="rId1"/>
    <sheet name="Dashboard" sheetId="2" r:id="rId2"/>
    <sheet name="Sheet5" sheetId="6" r:id="rId3"/>
    <sheet name="Sheet6" sheetId="7" r:id="rId4"/>
    <sheet name="Sheet7" sheetId="8" r:id="rId5"/>
    <sheet name="Sheet8" sheetId="9" r:id="rId6"/>
    <sheet name="Sheet9" sheetId="10" r:id="rId7"/>
    <sheet name="Sheet10" sheetId="11" r:id="rId8"/>
    <sheet name="Sales Data" sheetId="1" r:id="rId9"/>
  </sheets>
  <calcPr calcId="144525"/>
  <pivotCaches>
    <pivotCache cacheId="0" r:id="rId10"/>
  </pivotCaches>
</workbook>
</file>

<file path=xl/calcChain.xml><?xml version="1.0" encoding="utf-8"?>
<calcChain xmlns="http://schemas.openxmlformats.org/spreadsheetml/2006/main">
  <c r="G5" i="2" l="1"/>
  <c r="E5" i="2"/>
  <c r="C5" i="2"/>
  <c r="A5" i="2"/>
  <c r="B4" i="3"/>
  <c r="B3" i="3"/>
  <c r="B2" i="3"/>
  <c r="B1" i="3"/>
</calcChain>
</file>

<file path=xl/sharedStrings.xml><?xml version="1.0" encoding="utf-8"?>
<sst xmlns="http://schemas.openxmlformats.org/spreadsheetml/2006/main" count="462" uniqueCount="56">
  <si>
    <t>Order ID</t>
  </si>
  <si>
    <t>Date</t>
  </si>
  <si>
    <t>Product</t>
  </si>
  <si>
    <t>Category</t>
  </si>
  <si>
    <t>Region</t>
  </si>
  <si>
    <t>Quantity</t>
  </si>
  <si>
    <t>Unit Price</t>
  </si>
  <si>
    <t>Revenue</t>
  </si>
  <si>
    <t>Payment</t>
  </si>
  <si>
    <t>Customer</t>
  </si>
  <si>
    <t>Football</t>
  </si>
  <si>
    <t>Sports</t>
  </si>
  <si>
    <t>South</t>
  </si>
  <si>
    <t>Credit Card</t>
  </si>
  <si>
    <t>Arun</t>
  </si>
  <si>
    <t>Mixer</t>
  </si>
  <si>
    <t>Home Appliances</t>
  </si>
  <si>
    <t>West</t>
  </si>
  <si>
    <t>Debit Card</t>
  </si>
  <si>
    <t>Sneha</t>
  </si>
  <si>
    <t>Shoes</t>
  </si>
  <si>
    <t>North</t>
  </si>
  <si>
    <t>UPI</t>
  </si>
  <si>
    <t>Kiran</t>
  </si>
  <si>
    <t>Laptop</t>
  </si>
  <si>
    <t>Electronics</t>
  </si>
  <si>
    <t>Net Banking</t>
  </si>
  <si>
    <t>Mouse</t>
  </si>
  <si>
    <t>Table</t>
  </si>
  <si>
    <t>Furniture</t>
  </si>
  <si>
    <t>Rahul</t>
  </si>
  <si>
    <t>Chair</t>
  </si>
  <si>
    <t>East</t>
  </si>
  <si>
    <t>Cash</t>
  </si>
  <si>
    <t>Rice Bag</t>
  </si>
  <si>
    <t>Grocery</t>
  </si>
  <si>
    <t>Vijay</t>
  </si>
  <si>
    <t>Ravi</t>
  </si>
  <si>
    <t>Divya</t>
  </si>
  <si>
    <t>Priya</t>
  </si>
  <si>
    <t>Anjali</t>
  </si>
  <si>
    <t>Meena</t>
  </si>
  <si>
    <t>Total Revenue</t>
  </si>
  <si>
    <t>Total Quantity</t>
  </si>
  <si>
    <t>Total Orders</t>
  </si>
  <si>
    <t>Average Revenue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</si>
  <si>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</si>
  <si>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</si>
  <si>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</si>
  <si>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</si>
  <si>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</si>
  <si>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</si>
  <si>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</si>
  <si>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</si>
  <si>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</si>
  <si>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SALES AND REVENUE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</si>
</sst>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[Sales_Revenue_Dashboard.xlsx]Sheet5!PivotTable3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415200</c:v>
                </c:pt>
                <c:pt idx="1">
                  <c:v>541700</c:v>
                </c:pt>
                <c:pt idx="2">
                  <c:v>292200</c:v>
                </c:pt>
                <c:pt idx="3">
                  <c:v>759100</c:v>
                </c:pt>
                <c:pt idx="4">
                  <c:v>251900</c:v>
                </c:pt>
                <c:pt idx="5">
                  <c:v>675700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5638400"/>
        <c:axId val="215639936"/>
      </c:barChart>
      <c:catAx>
        <c:axId val="215638400"/>
        <c:scaling>
          <c:orientation val="minMax"/>
        </c:scaling>
        <c:delete val="0"/>
        <c:axPos val="l"/>
        <c:majorTickMark val="out"/>
        <c:minorTickMark val="none"/>
        <c:tickLblPos val="nextTo"/>
        <c:crossAx val="215639936"/>
        <c:crosses val="autoZero"/>
        <c:auto val="1"/>
        <c:lblAlgn val="ctr"/>
        <c:lblOffset val="100"/>
        <c:noMultiLvlLbl val="0"/>
      </c:catAx>
      <c:valAx>
        <c:axId val="2156399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5638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[Sales_Revenue_Dashboard.xlsx]Sheet6!PivotTable4</c:name>
    <c:fmtId val="5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Grocery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2235200</c:v>
                </c:pt>
                <c:pt idx="1">
                  <c:v>429000</c:v>
                </c:pt>
                <c:pt idx="2">
                  <c:v>57000</c:v>
                </c:pt>
                <c:pt idx="3">
                  <c:v>56000</c:v>
                </c:pt>
                <c:pt idx="4">
                  <c:v>158600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668608"/>
        <c:axId val="215670144"/>
      </c:barChart>
      <c:catAx>
        <c:axId val="2156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15670144"/>
        <c:crosses val="autoZero"/>
        <c:auto val="1"/>
        <c:lblAlgn val="ctr"/>
        <c:lblOffset val="100"/>
        <c:noMultiLvlLbl val="0"/>
      </c:catAx>
      <c:valAx>
        <c:axId val="21567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668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[Sales_Revenue_Dashboard.xlsx]Sheet7!PivotTable5</c:name>
    <c:fmtId val="6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Sheet7!$A$4:$A$12</c:f>
              <c:strCache>
                <c:ptCount val="8"/>
                <c:pt idx="0">
                  <c:v>Laptop</c:v>
                </c:pt>
                <c:pt idx="1">
                  <c:v>Table</c:v>
                </c:pt>
                <c:pt idx="2">
                  <c:v>Chair</c:v>
                </c:pt>
                <c:pt idx="3">
                  <c:v>Shoes</c:v>
                </c:pt>
                <c:pt idx="4">
                  <c:v>Football</c:v>
                </c:pt>
                <c:pt idx="5">
                  <c:v>Rice Bag</c:v>
                </c:pt>
                <c:pt idx="6">
                  <c:v>Mixer</c:v>
                </c:pt>
                <c:pt idx="7">
                  <c:v>Mouse</c:v>
                </c:pt>
              </c:strCache>
            </c:strRef>
          </c:cat>
          <c:val>
            <c:numRef>
              <c:f>Sheet7!$B$4:$B$12</c:f>
              <c:numCache>
                <c:formatCode>General</c:formatCode>
                <c:ptCount val="8"/>
                <c:pt idx="0">
                  <c:v>2200000</c:v>
                </c:pt>
                <c:pt idx="1">
                  <c:v>273000</c:v>
                </c:pt>
                <c:pt idx="2">
                  <c:v>156000</c:v>
                </c:pt>
                <c:pt idx="3">
                  <c:v>95000</c:v>
                </c:pt>
                <c:pt idx="4">
                  <c:v>63600</c:v>
                </c:pt>
                <c:pt idx="5">
                  <c:v>57000</c:v>
                </c:pt>
                <c:pt idx="6">
                  <c:v>56000</c:v>
                </c:pt>
                <c:pt idx="7">
                  <c:v>35200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6281088"/>
        <c:axId val="216282624"/>
        <c:axId val="0"/>
      </c:bar3DChart>
      <c:catAx>
        <c:axId val="216281088"/>
        <c:scaling>
          <c:orientation val="minMax"/>
        </c:scaling>
        <c:delete val="0"/>
        <c:axPos val="l"/>
        <c:majorTickMark val="out"/>
        <c:minorTickMark val="none"/>
        <c:tickLblPos val="nextTo"/>
        <c:crossAx val="216282624"/>
        <c:crosses val="autoZero"/>
        <c:auto val="1"/>
        <c:lblAlgn val="ctr"/>
        <c:lblOffset val="100"/>
        <c:noMultiLvlLbl val="0"/>
      </c:catAx>
      <c:valAx>
        <c:axId val="21628262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6281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[Sales_Revenue_Dashboard.xlsx]Sheet8!PivotTable6</c:name>
    <c:fmtId val="4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Sheet8!$A$4:$A$8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633600</c:v>
                </c:pt>
                <c:pt idx="1">
                  <c:v>1028800</c:v>
                </c:pt>
                <c:pt idx="2">
                  <c:v>779200</c:v>
                </c:pt>
                <c:pt idx="3">
                  <c:v>494200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[Sales_Revenue_Dashboard.xlsx]Sheet9!PivotTable7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Sheet9!$A$4:$A$9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Sheet9!$B$4:$B$9</c:f>
              <c:numCache>
                <c:formatCode>General</c:formatCode>
                <c:ptCount val="5"/>
                <c:pt idx="0">
                  <c:v>532500</c:v>
                </c:pt>
                <c:pt idx="1">
                  <c:v>1239300</c:v>
                </c:pt>
                <c:pt idx="2">
                  <c:v>198600</c:v>
                </c:pt>
                <c:pt idx="3">
                  <c:v>724200</c:v>
                </c:pt>
                <c:pt idx="4">
                  <c:v>241200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[Sales_Revenue_Dashboard.xlsx]Sheet6!PivotTable4</c:name>
    <c:fmtId val="3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Sheet6!$A$4:$A$9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Grocery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2235200</c:v>
                </c:pt>
                <c:pt idx="1">
                  <c:v>429000</c:v>
                </c:pt>
                <c:pt idx="2">
                  <c:v>57000</c:v>
                </c:pt>
                <c:pt idx="3">
                  <c:v>56000</c:v>
                </c:pt>
                <c:pt idx="4">
                  <c:v>158600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935168"/>
        <c:axId val="226936704"/>
      </c:barChart>
      <c:catAx>
        <c:axId val="226935168"/>
        <c:scaling>
          <c:orientation val="minMax"/>
        </c:scaling>
        <c:delete val="0"/>
        <c:axPos val="b"/>
        <c:majorTickMark val="out"/>
        <c:minorTickMark val="none"/>
        <c:tickLblPos val="nextTo"/>
        <c:crossAx val="226936704"/>
        <c:crosses val="autoZero"/>
        <c:auto val="1"/>
        <c:lblAlgn val="ctr"/>
        <c:lblOffset val="100"/>
        <c:noMultiLvlLbl val="0"/>
      </c:catAx>
      <c:valAx>
        <c:axId val="226936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35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[Sales_Revenue_Dashboard.xlsx]Sheet7!PivotTable5</c:name>
    <c:fmtId val="3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Sheet7!$A$4:$A$12</c:f>
              <c:strCache>
                <c:ptCount val="8"/>
                <c:pt idx="0">
                  <c:v>Laptop</c:v>
                </c:pt>
                <c:pt idx="1">
                  <c:v>Table</c:v>
                </c:pt>
                <c:pt idx="2">
                  <c:v>Chair</c:v>
                </c:pt>
                <c:pt idx="3">
                  <c:v>Shoes</c:v>
                </c:pt>
                <c:pt idx="4">
                  <c:v>Football</c:v>
                </c:pt>
                <c:pt idx="5">
                  <c:v>Rice Bag</c:v>
                </c:pt>
                <c:pt idx="6">
                  <c:v>Mixer</c:v>
                </c:pt>
                <c:pt idx="7">
                  <c:v>Mouse</c:v>
                </c:pt>
              </c:strCache>
            </c:strRef>
          </c:cat>
          <c:val>
            <c:numRef>
              <c:f>Sheet7!$B$4:$B$12</c:f>
              <c:numCache>
                <c:formatCode>General</c:formatCode>
                <c:ptCount val="8"/>
                <c:pt idx="0">
                  <c:v>2200000</c:v>
                </c:pt>
                <c:pt idx="1">
                  <c:v>273000</c:v>
                </c:pt>
                <c:pt idx="2">
                  <c:v>156000</c:v>
                </c:pt>
                <c:pt idx="3">
                  <c:v>95000</c:v>
                </c:pt>
                <c:pt idx="4">
                  <c:v>63600</c:v>
                </c:pt>
                <c:pt idx="5">
                  <c:v>57000</c:v>
                </c:pt>
                <c:pt idx="6">
                  <c:v>56000</c:v>
                </c:pt>
                <c:pt idx="7">
                  <c:v>35200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6646272"/>
        <c:axId val="226705408"/>
        <c:axId val="0"/>
      </c:bar3DChart>
      <c:catAx>
        <c:axId val="226646272"/>
        <c:scaling>
          <c:orientation val="minMax"/>
        </c:scaling>
        <c:delete val="0"/>
        <c:axPos val="l"/>
        <c:majorTickMark val="out"/>
        <c:minorTickMark val="none"/>
        <c:tickLblPos val="nextTo"/>
        <c:crossAx val="226705408"/>
        <c:crosses val="autoZero"/>
        <c:auto val="1"/>
        <c:lblAlgn val="ctr"/>
        <c:lblOffset val="100"/>
        <c:noMultiLvlLbl val="0"/>
      </c:catAx>
      <c:valAx>
        <c:axId val="2267054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26646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[Sales_Revenue_Dashboard.xlsx]Sheet8!PivotTable6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Sheet8!$A$4:$A$8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633600</c:v>
                </c:pt>
                <c:pt idx="1">
                  <c:v>1028800</c:v>
                </c:pt>
                <c:pt idx="2">
                  <c:v>779200</c:v>
                </c:pt>
                <c:pt idx="3">
                  <c:v>494200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[Sales_Revenue_Dashboard.xlsx]Sheet9!PivotTable7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Sheet9!$A$4:$A$9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Sheet9!$B$4:$B$9</c:f>
              <c:numCache>
                <c:formatCode>General</c:formatCode>
                <c:ptCount val="5"/>
                <c:pt idx="0">
                  <c:v>532500</c:v>
                </c:pt>
                <c:pt idx="1">
                  <c:v>1239300</c:v>
                </c:pt>
                <c:pt idx="2">
                  <c:v>198600</c:v>
                </c:pt>
                <c:pt idx="3">
                  <c:v>724200</c:v>
                </c:pt>
                <c:pt idx="4">
                  <c:v>241200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6</xdr:row>
      <xdr:rowOff>50800</xdr:rowOff>
    </xdr:from>
    <xdr:to>
      <xdr:col>0</xdr:col>
      <xdr:colOff>3740150</xdr:colOff>
      <xdr:row>19</xdr:row>
      <xdr:rowOff>82550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4140200</xdr:colOff>
      <xdr:row>6</xdr:row>
      <xdr:rowOff>63500</xdr:rowOff>
    </xdr:from>
    <xdr:to>
      <xdr:col>6</xdr:col>
      <xdr:colOff>209550</xdr:colOff>
      <xdr:row>19</xdr:row>
      <xdr:rowOff>101600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444500</xdr:colOff>
      <xdr:row>6</xdr:row>
      <xdr:rowOff>82550</xdr:rowOff>
    </xdr:from>
    <xdr:to>
      <xdr:col>12</xdr:col>
      <xdr:colOff>571500</xdr:colOff>
      <xdr:row>18</xdr:row>
      <xdr:rowOff>177800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1549400</xdr:colOff>
      <xdr:row>21</xdr:row>
      <xdr:rowOff>76200</xdr:rowOff>
    </xdr:from>
    <xdr:to>
      <xdr:col>3</xdr:col>
      <xdr:colOff>101600</xdr:colOff>
      <xdr:row>33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177800</xdr:colOff>
      <xdr:row>21</xdr:row>
      <xdr:rowOff>50800</xdr:rowOff>
    </xdr:from>
    <xdr:to>
      <xdr:col>11</xdr:col>
      <xdr:colOff>393700</xdr:colOff>
      <xdr:row>33</xdr:row>
      <xdr:rowOff>44450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73025</xdr:colOff>
      <xdr:row>4</xdr:row>
      <xdr:rowOff>155575</xdr:rowOff>
    </xdr:from>
    <xdr:to>
      <xdr:col>10</xdr:col>
      <xdr:colOff>377825</xdr:colOff>
      <xdr:row>19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282575</xdr:colOff>
      <xdr:row>4</xdr:row>
      <xdr:rowOff>155575</xdr:rowOff>
    </xdr:from>
    <xdr:to>
      <xdr:col>10</xdr:col>
      <xdr:colOff>587375</xdr:colOff>
      <xdr:row>19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282575</xdr:colOff>
      <xdr:row>4</xdr:row>
      <xdr:rowOff>155575</xdr:rowOff>
    </xdr:from>
    <xdr:to>
      <xdr:col>10</xdr:col>
      <xdr:colOff>587375</xdr:colOff>
      <xdr:row>19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282575</xdr:colOff>
      <xdr:row>4</xdr:row>
      <xdr:rowOff>155575</xdr:rowOff>
    </xdr:from>
    <xdr:to>
      <xdr:col>10</xdr:col>
      <xdr:colOff>587375</xdr:colOff>
      <xdr:row>19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9.626393402781" createdVersion="4" refreshedVersion="4" minRefreshableVersion="3" recordCount="80">
  <cacheSource type="worksheet">
    <worksheetSource name="Table1"/>
  </cacheSource>
  <cacheFields count="10">
    <cacheField name="Order ID" numFmtId="0">
      <sharedItems containsSemiMixedTypes="0" containsString="0" containsNumber="1" containsInteger="1" minValue="1001" maxValue="1080"/>
    </cacheField>
    <cacheField name="Date" numFmtId="14">
      <sharedItems containsSemiMixedTypes="0" containsNonDate="0" containsDate="1" containsString="0" minDate="2026-01-01T00:00:00" maxDate="2026-07-01T00:00:00" count="70">
        <d v="2026-01-12T00:00:00"/>
        <d v="2026-01-16T00:00:00"/>
        <d v="2026-04-14T00:00:00"/>
        <d v="2026-06-20T00:00:00"/>
        <d v="2026-06-30T00:00:00"/>
        <d v="2026-02-27T00:00:00"/>
        <d v="2026-01-08T00:00:00"/>
        <d v="2026-04-24T00:00:00"/>
        <d v="2026-05-27T00:00:00"/>
        <d v="2026-05-14T00:00:00"/>
        <d v="2026-06-12T00:00:00"/>
        <d v="2026-05-02T00:00:00"/>
        <d v="2026-02-15T00:00:00"/>
        <d v="2026-06-01T00:00:00"/>
        <d v="2026-01-31T00:00:00"/>
        <d v="2026-01-28T00:00:00"/>
        <d v="2026-03-07T00:00:00"/>
        <d v="2026-04-28T00:00:00"/>
        <d v="2026-06-18T00:00:00"/>
        <d v="2026-02-01T00:00:00"/>
        <d v="2026-03-16T00:00:00"/>
        <d v="2026-02-10T00:00:00"/>
        <d v="2026-01-21T00:00:00"/>
        <d v="2026-02-23T00:00:00"/>
        <d v="2026-06-29T00:00:00"/>
        <d v="2026-05-15T00:00:00"/>
        <d v="2026-01-11T00:00:00"/>
        <d v="2026-01-24T00:00:00"/>
        <d v="2026-04-07T00:00:00"/>
        <d v="2026-03-06T00:00:00"/>
        <d v="2026-03-01T00:00:00"/>
        <d v="2026-02-16T00:00:00"/>
        <d v="2026-03-10T00:00:00"/>
        <d v="2026-06-03T00:00:00"/>
        <d v="2026-05-01T00:00:00"/>
        <d v="2026-01-20T00:00:00"/>
        <d v="2026-02-20T00:00:00"/>
        <d v="2026-01-15T00:00:00"/>
        <d v="2026-05-28T00:00:00"/>
        <d v="2026-04-08T00:00:00"/>
        <d v="2026-05-09T00:00:00"/>
        <d v="2026-05-23T00:00:00"/>
        <d v="2026-02-05T00:00:00"/>
        <d v="2026-01-25T00:00:00"/>
        <d v="2026-05-10T00:00:00"/>
        <d v="2026-02-25T00:00:00"/>
        <d v="2026-04-15T00:00:00"/>
        <d v="2026-06-24T00:00:00"/>
        <d v="2026-03-18T00:00:00"/>
        <d v="2026-01-23T00:00:00"/>
        <d v="2026-04-02T00:00:00"/>
        <d v="2026-01-04T00:00:00"/>
        <d v="2026-02-17T00:00:00"/>
        <d v="2026-01-13T00:00:00"/>
        <d v="2026-01-01T00:00:00"/>
        <d v="2026-02-04T00:00:00"/>
        <d v="2026-04-30T00:00:00"/>
        <d v="2026-05-26T00:00:00"/>
        <d v="2026-06-28T00:00:00"/>
        <d v="2026-03-04T00:00:00"/>
        <d v="2026-05-04T00:00:00"/>
        <d v="2026-04-16T00:00:00"/>
        <d v="2026-05-17T00:00:00"/>
        <d v="2026-05-24T00:00:00"/>
        <d v="2026-02-11T00:00:00"/>
        <d v="2026-03-13T00:00:00"/>
        <d v="2026-04-25T00:00:00"/>
        <d v="2026-03-14T00:00:00"/>
        <d v="2026-04-17T00:00:00"/>
        <d v="2026-06-26T00:00:00"/>
      </sharedItems>
      <fieldGroup base="1">
        <rangePr groupBy="months" startDate="2026-01-01T00:00:00" endDate="2026-07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6"/>
        </groupItems>
      </fieldGroup>
    </cacheField>
    <cacheField name="Product" numFmtId="0">
      <sharedItems count="8">
        <s v="Football"/>
        <s v="Mixer"/>
        <s v="Shoes"/>
        <s v="Laptop"/>
        <s v="Mouse"/>
        <s v="Table"/>
        <s v="Chair"/>
        <s v="Rice Bag"/>
      </sharedItems>
    </cacheField>
    <cacheField name="Category" numFmtId="0">
      <sharedItems count="5">
        <s v="Sports"/>
        <s v="Home Appliances"/>
        <s v="Electronics"/>
        <s v="Furniture"/>
        <s v="Grocery"/>
      </sharedItems>
    </cacheField>
    <cacheField name="Region" numFmtId="0">
      <sharedItems count="4">
        <s v="South"/>
        <s v="West"/>
        <s v="North"/>
        <s v="East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800" maxValue="50000"/>
    </cacheField>
    <cacheField name="Revenue" numFmtId="0">
      <sharedItems containsSemiMixedTypes="0" containsString="0" containsNumber="1" containsInteger="1" minValue="800" maxValue="400000"/>
    </cacheField>
    <cacheField name="Payment" numFmtId="0">
      <sharedItems count="5">
        <s v="Credit Card"/>
        <s v="Debit Card"/>
        <s v="UPI"/>
        <s v="Net Banking"/>
        <s v="Cash"/>
      </sharedItems>
    </cacheField>
    <cacheField name="Custom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n v="1001"/>
    <x v="0"/>
    <x v="0"/>
    <x v="0"/>
    <x v="0"/>
    <n v="7"/>
    <n v="1200"/>
    <n v="8400"/>
    <x v="0"/>
    <s v="Arun"/>
  </r>
  <r>
    <n v="1002"/>
    <x v="1"/>
    <x v="1"/>
    <x v="1"/>
    <x v="1"/>
    <n v="2"/>
    <n v="3500"/>
    <n v="7000"/>
    <x v="1"/>
    <s v="Sneha"/>
  </r>
  <r>
    <n v="1003"/>
    <x v="2"/>
    <x v="2"/>
    <x v="0"/>
    <x v="2"/>
    <n v="1"/>
    <n v="2500"/>
    <n v="2500"/>
    <x v="2"/>
    <s v="Kiran"/>
  </r>
  <r>
    <n v="1004"/>
    <x v="3"/>
    <x v="3"/>
    <x v="2"/>
    <x v="0"/>
    <n v="5"/>
    <n v="50000"/>
    <n v="250000"/>
    <x v="3"/>
    <s v="Sneha"/>
  </r>
  <r>
    <n v="1005"/>
    <x v="4"/>
    <x v="4"/>
    <x v="2"/>
    <x v="2"/>
    <n v="1"/>
    <n v="800"/>
    <n v="800"/>
    <x v="3"/>
    <s v="Sneha"/>
  </r>
  <r>
    <n v="1006"/>
    <x v="5"/>
    <x v="5"/>
    <x v="3"/>
    <x v="0"/>
    <n v="5"/>
    <n v="7000"/>
    <n v="35000"/>
    <x v="0"/>
    <s v="Rahul"/>
  </r>
  <r>
    <n v="1007"/>
    <x v="6"/>
    <x v="6"/>
    <x v="3"/>
    <x v="3"/>
    <n v="8"/>
    <n v="3000"/>
    <n v="24000"/>
    <x v="0"/>
    <s v="Rahul"/>
  </r>
  <r>
    <n v="1008"/>
    <x v="7"/>
    <x v="2"/>
    <x v="0"/>
    <x v="0"/>
    <n v="8"/>
    <n v="2500"/>
    <n v="20000"/>
    <x v="4"/>
    <s v="Rahul"/>
  </r>
  <r>
    <n v="1009"/>
    <x v="8"/>
    <x v="1"/>
    <x v="1"/>
    <x v="3"/>
    <n v="5"/>
    <n v="3500"/>
    <n v="17500"/>
    <x v="4"/>
    <s v="Arun"/>
  </r>
  <r>
    <n v="1010"/>
    <x v="9"/>
    <x v="7"/>
    <x v="4"/>
    <x v="1"/>
    <n v="6"/>
    <n v="1500"/>
    <n v="9000"/>
    <x v="1"/>
    <s v="Vijay"/>
  </r>
  <r>
    <n v="1011"/>
    <x v="10"/>
    <x v="7"/>
    <x v="4"/>
    <x v="2"/>
    <n v="6"/>
    <n v="1500"/>
    <n v="9000"/>
    <x v="0"/>
    <s v="Arun"/>
  </r>
  <r>
    <n v="1012"/>
    <x v="11"/>
    <x v="2"/>
    <x v="0"/>
    <x v="3"/>
    <n v="8"/>
    <n v="2500"/>
    <n v="20000"/>
    <x v="4"/>
    <s v="Ravi"/>
  </r>
  <r>
    <n v="1013"/>
    <x v="12"/>
    <x v="3"/>
    <x v="2"/>
    <x v="2"/>
    <n v="6"/>
    <n v="50000"/>
    <n v="300000"/>
    <x v="0"/>
    <s v="Divya"/>
  </r>
  <r>
    <n v="1014"/>
    <x v="13"/>
    <x v="3"/>
    <x v="2"/>
    <x v="2"/>
    <n v="6"/>
    <n v="50000"/>
    <n v="300000"/>
    <x v="0"/>
    <s v="Sneha"/>
  </r>
  <r>
    <n v="1015"/>
    <x v="14"/>
    <x v="7"/>
    <x v="4"/>
    <x v="3"/>
    <n v="1"/>
    <n v="1500"/>
    <n v="1500"/>
    <x v="2"/>
    <s v="Sneha"/>
  </r>
  <r>
    <n v="1016"/>
    <x v="15"/>
    <x v="0"/>
    <x v="0"/>
    <x v="3"/>
    <n v="8"/>
    <n v="1200"/>
    <n v="9600"/>
    <x v="0"/>
    <s v="Sneha"/>
  </r>
  <r>
    <n v="1017"/>
    <x v="16"/>
    <x v="7"/>
    <x v="4"/>
    <x v="3"/>
    <n v="3"/>
    <n v="1500"/>
    <n v="4500"/>
    <x v="4"/>
    <s v="Priya"/>
  </r>
  <r>
    <n v="1018"/>
    <x v="17"/>
    <x v="4"/>
    <x v="2"/>
    <x v="3"/>
    <n v="2"/>
    <n v="800"/>
    <n v="1600"/>
    <x v="1"/>
    <s v="Divya"/>
  </r>
  <r>
    <n v="1019"/>
    <x v="18"/>
    <x v="5"/>
    <x v="3"/>
    <x v="0"/>
    <n v="5"/>
    <n v="7000"/>
    <n v="35000"/>
    <x v="3"/>
    <s v="Ravi"/>
  </r>
  <r>
    <n v="1020"/>
    <x v="19"/>
    <x v="2"/>
    <x v="0"/>
    <x v="1"/>
    <n v="1"/>
    <n v="2500"/>
    <n v="2500"/>
    <x v="2"/>
    <s v="Anjali"/>
  </r>
  <r>
    <n v="1021"/>
    <x v="20"/>
    <x v="6"/>
    <x v="3"/>
    <x v="3"/>
    <n v="6"/>
    <n v="3000"/>
    <n v="18000"/>
    <x v="3"/>
    <s v="Divya"/>
  </r>
  <r>
    <n v="1022"/>
    <x v="21"/>
    <x v="4"/>
    <x v="2"/>
    <x v="3"/>
    <n v="5"/>
    <n v="800"/>
    <n v="4000"/>
    <x v="1"/>
    <s v="Vijay"/>
  </r>
  <r>
    <n v="1023"/>
    <x v="22"/>
    <x v="0"/>
    <x v="0"/>
    <x v="0"/>
    <n v="1"/>
    <n v="1200"/>
    <n v="1200"/>
    <x v="2"/>
    <s v="Arun"/>
  </r>
  <r>
    <n v="1024"/>
    <x v="23"/>
    <x v="6"/>
    <x v="3"/>
    <x v="0"/>
    <n v="2"/>
    <n v="3000"/>
    <n v="6000"/>
    <x v="3"/>
    <s v="Vijay"/>
  </r>
  <r>
    <n v="1025"/>
    <x v="24"/>
    <x v="5"/>
    <x v="3"/>
    <x v="0"/>
    <n v="3"/>
    <n v="7000"/>
    <n v="21000"/>
    <x v="0"/>
    <s v="Arun"/>
  </r>
  <r>
    <n v="1026"/>
    <x v="25"/>
    <x v="6"/>
    <x v="3"/>
    <x v="1"/>
    <n v="7"/>
    <n v="3000"/>
    <n v="21000"/>
    <x v="1"/>
    <s v="Meena"/>
  </r>
  <r>
    <n v="1027"/>
    <x v="26"/>
    <x v="2"/>
    <x v="0"/>
    <x v="1"/>
    <n v="3"/>
    <n v="2500"/>
    <n v="7500"/>
    <x v="0"/>
    <s v="Anjali"/>
  </r>
  <r>
    <n v="1028"/>
    <x v="27"/>
    <x v="7"/>
    <x v="4"/>
    <x v="2"/>
    <n v="8"/>
    <n v="1500"/>
    <n v="12000"/>
    <x v="1"/>
    <s v="Rahul"/>
  </r>
  <r>
    <n v="1029"/>
    <x v="28"/>
    <x v="3"/>
    <x v="2"/>
    <x v="3"/>
    <n v="8"/>
    <n v="50000"/>
    <n v="400000"/>
    <x v="4"/>
    <s v="Vijay"/>
  </r>
  <r>
    <n v="1030"/>
    <x v="29"/>
    <x v="2"/>
    <x v="0"/>
    <x v="3"/>
    <n v="8"/>
    <n v="2500"/>
    <n v="20000"/>
    <x v="2"/>
    <s v="Rahul"/>
  </r>
  <r>
    <n v="1031"/>
    <x v="30"/>
    <x v="7"/>
    <x v="4"/>
    <x v="3"/>
    <n v="5"/>
    <n v="1500"/>
    <n v="7500"/>
    <x v="0"/>
    <s v="Kiran"/>
  </r>
  <r>
    <n v="1032"/>
    <x v="31"/>
    <x v="4"/>
    <x v="2"/>
    <x v="0"/>
    <n v="6"/>
    <n v="800"/>
    <n v="4800"/>
    <x v="4"/>
    <s v="Divya"/>
  </r>
  <r>
    <n v="1033"/>
    <x v="32"/>
    <x v="4"/>
    <x v="2"/>
    <x v="2"/>
    <n v="6"/>
    <n v="800"/>
    <n v="4800"/>
    <x v="2"/>
    <s v="Anjali"/>
  </r>
  <r>
    <n v="1034"/>
    <x v="33"/>
    <x v="5"/>
    <x v="3"/>
    <x v="2"/>
    <n v="5"/>
    <n v="7000"/>
    <n v="35000"/>
    <x v="3"/>
    <s v="Kiran"/>
  </r>
  <r>
    <n v="1035"/>
    <x v="34"/>
    <x v="0"/>
    <x v="0"/>
    <x v="0"/>
    <n v="3"/>
    <n v="1200"/>
    <n v="3600"/>
    <x v="4"/>
    <s v="Meena"/>
  </r>
  <r>
    <n v="1036"/>
    <x v="11"/>
    <x v="4"/>
    <x v="2"/>
    <x v="0"/>
    <n v="3"/>
    <n v="800"/>
    <n v="2400"/>
    <x v="1"/>
    <s v="Arun"/>
  </r>
  <r>
    <n v="1037"/>
    <x v="35"/>
    <x v="2"/>
    <x v="0"/>
    <x v="3"/>
    <n v="3"/>
    <n v="2500"/>
    <n v="7500"/>
    <x v="4"/>
    <s v="Divya"/>
  </r>
  <r>
    <n v="1038"/>
    <x v="36"/>
    <x v="4"/>
    <x v="2"/>
    <x v="0"/>
    <n v="3"/>
    <n v="800"/>
    <n v="2400"/>
    <x v="2"/>
    <s v="Priya"/>
  </r>
  <r>
    <n v="1039"/>
    <x v="37"/>
    <x v="4"/>
    <x v="2"/>
    <x v="1"/>
    <n v="6"/>
    <n v="800"/>
    <n v="4800"/>
    <x v="4"/>
    <s v="Kiran"/>
  </r>
  <r>
    <n v="1040"/>
    <x v="38"/>
    <x v="0"/>
    <x v="0"/>
    <x v="1"/>
    <n v="2"/>
    <n v="1200"/>
    <n v="2400"/>
    <x v="4"/>
    <s v="Priya"/>
  </r>
  <r>
    <n v="1041"/>
    <x v="39"/>
    <x v="1"/>
    <x v="1"/>
    <x v="0"/>
    <n v="4"/>
    <n v="3500"/>
    <n v="14000"/>
    <x v="4"/>
    <s v="Priya"/>
  </r>
  <r>
    <n v="1042"/>
    <x v="40"/>
    <x v="0"/>
    <x v="0"/>
    <x v="2"/>
    <n v="1"/>
    <n v="1200"/>
    <n v="1200"/>
    <x v="2"/>
    <s v="Kiran"/>
  </r>
  <r>
    <n v="1043"/>
    <x v="5"/>
    <x v="3"/>
    <x v="2"/>
    <x v="2"/>
    <n v="3"/>
    <n v="50000"/>
    <n v="150000"/>
    <x v="2"/>
    <s v="Ravi"/>
  </r>
  <r>
    <n v="1044"/>
    <x v="41"/>
    <x v="3"/>
    <x v="2"/>
    <x v="0"/>
    <n v="2"/>
    <n v="50000"/>
    <n v="100000"/>
    <x v="0"/>
    <s v="Meena"/>
  </r>
  <r>
    <n v="1045"/>
    <x v="42"/>
    <x v="1"/>
    <x v="1"/>
    <x v="3"/>
    <n v="1"/>
    <n v="3500"/>
    <n v="3500"/>
    <x v="2"/>
    <s v="Vijay"/>
  </r>
  <r>
    <n v="1046"/>
    <x v="43"/>
    <x v="7"/>
    <x v="4"/>
    <x v="3"/>
    <n v="1"/>
    <n v="1500"/>
    <n v="1500"/>
    <x v="0"/>
    <s v="Meena"/>
  </r>
  <r>
    <n v="1047"/>
    <x v="44"/>
    <x v="5"/>
    <x v="3"/>
    <x v="0"/>
    <n v="4"/>
    <n v="7000"/>
    <n v="28000"/>
    <x v="0"/>
    <s v="Anjali"/>
  </r>
  <r>
    <n v="1048"/>
    <x v="45"/>
    <x v="7"/>
    <x v="4"/>
    <x v="3"/>
    <n v="3"/>
    <n v="1500"/>
    <n v="4500"/>
    <x v="2"/>
    <s v="Sneha"/>
  </r>
  <r>
    <n v="1049"/>
    <x v="46"/>
    <x v="5"/>
    <x v="3"/>
    <x v="0"/>
    <n v="5"/>
    <n v="7000"/>
    <n v="35000"/>
    <x v="1"/>
    <s v="Priya"/>
  </r>
  <r>
    <n v="1050"/>
    <x v="47"/>
    <x v="6"/>
    <x v="3"/>
    <x v="0"/>
    <n v="1"/>
    <n v="3000"/>
    <n v="3000"/>
    <x v="3"/>
    <s v="Anjali"/>
  </r>
  <r>
    <n v="1051"/>
    <x v="19"/>
    <x v="2"/>
    <x v="0"/>
    <x v="0"/>
    <n v="1"/>
    <n v="2500"/>
    <n v="2500"/>
    <x v="2"/>
    <s v="Vijay"/>
  </r>
  <r>
    <n v="1052"/>
    <x v="48"/>
    <x v="1"/>
    <x v="1"/>
    <x v="3"/>
    <n v="2"/>
    <n v="3500"/>
    <n v="7000"/>
    <x v="2"/>
    <s v="Rahul"/>
  </r>
  <r>
    <n v="1053"/>
    <x v="49"/>
    <x v="3"/>
    <x v="2"/>
    <x v="1"/>
    <n v="3"/>
    <n v="50000"/>
    <n v="150000"/>
    <x v="0"/>
    <s v="Ravi"/>
  </r>
  <r>
    <n v="1054"/>
    <x v="50"/>
    <x v="0"/>
    <x v="0"/>
    <x v="3"/>
    <n v="8"/>
    <n v="1200"/>
    <n v="9600"/>
    <x v="0"/>
    <s v="Kiran"/>
  </r>
  <r>
    <n v="1055"/>
    <x v="36"/>
    <x v="4"/>
    <x v="2"/>
    <x v="1"/>
    <n v="5"/>
    <n v="800"/>
    <n v="4000"/>
    <x v="2"/>
    <s v="Anjali"/>
  </r>
  <r>
    <n v="1056"/>
    <x v="51"/>
    <x v="4"/>
    <x v="2"/>
    <x v="3"/>
    <n v="4"/>
    <n v="800"/>
    <n v="3200"/>
    <x v="2"/>
    <s v="Kiran"/>
  </r>
  <r>
    <n v="1057"/>
    <x v="52"/>
    <x v="6"/>
    <x v="3"/>
    <x v="2"/>
    <n v="1"/>
    <n v="3000"/>
    <n v="3000"/>
    <x v="1"/>
    <s v="Sneha"/>
  </r>
  <r>
    <n v="1058"/>
    <x v="53"/>
    <x v="3"/>
    <x v="2"/>
    <x v="2"/>
    <n v="3"/>
    <n v="50000"/>
    <n v="150000"/>
    <x v="3"/>
    <s v="Divya"/>
  </r>
  <r>
    <n v="1059"/>
    <x v="10"/>
    <x v="0"/>
    <x v="0"/>
    <x v="1"/>
    <n v="7"/>
    <n v="1200"/>
    <n v="8400"/>
    <x v="2"/>
    <s v="Priya"/>
  </r>
  <r>
    <n v="1060"/>
    <x v="54"/>
    <x v="6"/>
    <x v="3"/>
    <x v="2"/>
    <n v="8"/>
    <n v="3000"/>
    <n v="24000"/>
    <x v="3"/>
    <s v="Anjali"/>
  </r>
  <r>
    <n v="1061"/>
    <x v="55"/>
    <x v="2"/>
    <x v="0"/>
    <x v="2"/>
    <n v="5"/>
    <n v="2500"/>
    <n v="12500"/>
    <x v="1"/>
    <s v="Anjali"/>
  </r>
  <r>
    <n v="1062"/>
    <x v="4"/>
    <x v="7"/>
    <x v="4"/>
    <x v="0"/>
    <n v="1"/>
    <n v="1500"/>
    <n v="1500"/>
    <x v="1"/>
    <s v="Priya"/>
  </r>
  <r>
    <n v="1063"/>
    <x v="9"/>
    <x v="4"/>
    <x v="2"/>
    <x v="3"/>
    <n v="3"/>
    <n v="800"/>
    <n v="2400"/>
    <x v="1"/>
    <s v="Anjali"/>
  </r>
  <r>
    <n v="1064"/>
    <x v="56"/>
    <x v="3"/>
    <x v="2"/>
    <x v="0"/>
    <n v="4"/>
    <n v="50000"/>
    <n v="200000"/>
    <x v="3"/>
    <s v="Anjali"/>
  </r>
  <r>
    <n v="1065"/>
    <x v="57"/>
    <x v="0"/>
    <x v="0"/>
    <x v="3"/>
    <n v="2"/>
    <n v="1200"/>
    <n v="2400"/>
    <x v="0"/>
    <s v="Arun"/>
  </r>
  <r>
    <n v="1066"/>
    <x v="58"/>
    <x v="0"/>
    <x v="0"/>
    <x v="3"/>
    <n v="4"/>
    <n v="1200"/>
    <n v="4800"/>
    <x v="0"/>
    <s v="Arun"/>
  </r>
  <r>
    <n v="1067"/>
    <x v="59"/>
    <x v="3"/>
    <x v="2"/>
    <x v="1"/>
    <n v="4"/>
    <n v="50000"/>
    <n v="200000"/>
    <x v="0"/>
    <s v="Meena"/>
  </r>
  <r>
    <n v="1068"/>
    <x v="60"/>
    <x v="7"/>
    <x v="4"/>
    <x v="2"/>
    <n v="2"/>
    <n v="1500"/>
    <n v="3000"/>
    <x v="1"/>
    <s v="Ravi"/>
  </r>
  <r>
    <n v="1069"/>
    <x v="61"/>
    <x v="5"/>
    <x v="3"/>
    <x v="1"/>
    <n v="8"/>
    <n v="7000"/>
    <n v="56000"/>
    <x v="1"/>
    <s v="Anjali"/>
  </r>
  <r>
    <n v="1070"/>
    <x v="62"/>
    <x v="6"/>
    <x v="3"/>
    <x v="2"/>
    <n v="7"/>
    <n v="3000"/>
    <n v="21000"/>
    <x v="1"/>
    <s v="Arun"/>
  </r>
  <r>
    <n v="1071"/>
    <x v="63"/>
    <x v="6"/>
    <x v="3"/>
    <x v="3"/>
    <n v="6"/>
    <n v="3000"/>
    <n v="18000"/>
    <x v="0"/>
    <s v="Anjali"/>
  </r>
  <r>
    <n v="1072"/>
    <x v="64"/>
    <x v="1"/>
    <x v="1"/>
    <x v="3"/>
    <n v="2"/>
    <n v="3500"/>
    <n v="7000"/>
    <x v="2"/>
    <s v="Sneha"/>
  </r>
  <r>
    <n v="1073"/>
    <x v="39"/>
    <x v="6"/>
    <x v="3"/>
    <x v="1"/>
    <n v="3"/>
    <n v="3000"/>
    <n v="9000"/>
    <x v="2"/>
    <s v="Divya"/>
  </r>
  <r>
    <n v="1074"/>
    <x v="49"/>
    <x v="6"/>
    <x v="3"/>
    <x v="1"/>
    <n v="1"/>
    <n v="3000"/>
    <n v="3000"/>
    <x v="4"/>
    <s v="Divya"/>
  </r>
  <r>
    <n v="1075"/>
    <x v="2"/>
    <x v="6"/>
    <x v="3"/>
    <x v="3"/>
    <n v="2"/>
    <n v="3000"/>
    <n v="6000"/>
    <x v="2"/>
    <s v="Ravi"/>
  </r>
  <r>
    <n v="1076"/>
    <x v="65"/>
    <x v="0"/>
    <x v="0"/>
    <x v="1"/>
    <n v="2"/>
    <n v="1200"/>
    <n v="2400"/>
    <x v="4"/>
    <s v="Meena"/>
  </r>
  <r>
    <n v="1077"/>
    <x v="66"/>
    <x v="7"/>
    <x v="4"/>
    <x v="0"/>
    <n v="2"/>
    <n v="1500"/>
    <n v="3000"/>
    <x v="0"/>
    <s v="Ravi"/>
  </r>
  <r>
    <n v="1078"/>
    <x v="67"/>
    <x v="5"/>
    <x v="3"/>
    <x v="3"/>
    <n v="4"/>
    <n v="7000"/>
    <n v="28000"/>
    <x v="4"/>
    <s v="Rahul"/>
  </r>
  <r>
    <n v="1079"/>
    <x v="68"/>
    <x v="0"/>
    <x v="0"/>
    <x v="0"/>
    <n v="2"/>
    <n v="1200"/>
    <n v="2400"/>
    <x v="3"/>
    <s v="Vijay"/>
  </r>
  <r>
    <n v="1080"/>
    <x v="69"/>
    <x v="0"/>
    <x v="0"/>
    <x v="1"/>
    <n v="6"/>
    <n v="1200"/>
    <n v="7200"/>
    <x v="1"/>
    <s v="Kir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0" firstHeaderRow="1" firstDataRow="1" firstDataCol="1"/>
  <pivotFields count="10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A3:B9" firstHeaderRow="1" firstDataRow="1" firstDataCol="1"/>
  <pivotFields count="10">
    <pivotField showAll="0"/>
    <pivotField numFmtId="14"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A3:B12" firstHeaderRow="1" firstDataRow="1" firstDataCol="1"/>
  <pivotFields count="10">
    <pivotField showAll="0"/>
    <pivotField numFmtId="14" showAll="0"/>
    <pivotField axis="axisRow" showAll="0" sortType="descending">
      <items count="9">
        <item x="6"/>
        <item x="0"/>
        <item x="3"/>
        <item x="1"/>
        <item x="4"/>
        <item x="7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9">
    <i>
      <x v="2"/>
    </i>
    <i>
      <x v="7"/>
    </i>
    <i>
      <x/>
    </i>
    <i>
      <x v="6"/>
    </i>
    <i>
      <x v="1"/>
    </i>
    <i>
      <x v="5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8" firstHeaderRow="1" firstDataRow="1" firstDataCol="1"/>
  <pivotFields count="10">
    <pivotField showAll="0"/>
    <pivotField numFmtId="14"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81" totalsRowShown="0">
  <autoFilter ref="A1:J81"/>
  <tableColumns count="10">
    <tableColumn id="1" name="Order ID"/>
    <tableColumn id="2" name="Date"/>
    <tableColumn id="3" name="Product"/>
    <tableColumn id="4" name="Category"/>
    <tableColumn id="5" name="Region"/>
    <tableColumn id="6" name="Quantity"/>
    <tableColumn id="7" name="Unit Price"/>
    <tableColumn id="8" name="Revenue"/>
    <tableColumn id="9" name="Payment"/>
    <tableColumn id="10" name="Custom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.5" x14ac:dyDescent="0.35"/>
  <cols>
    <col min="1" max="1" width="13.26953125" customWidth="1"/>
    <col min="2" max="2" width="14.7265625" customWidth="1"/>
    <col min="3" max="3" width="12.81640625" customWidth="1"/>
    <col min="4" max="4" width="15.90625" customWidth="1"/>
  </cols>
  <sheetData>
    <row r="1" spans="1:2" x14ac:dyDescent="0.35">
      <c r="A1" t="s">
        <v>42</v>
      </c>
      <c r="B1">
        <f>SUM('Sales Data'!H2:H81)</f>
        <v>2935800</v>
      </c>
    </row>
    <row r="2" spans="1:2" x14ac:dyDescent="0.35">
      <c r="A2" t="s">
        <v>43</v>
      </c>
      <c r="B2">
        <f>SUM('Sales Data'!F2:F81)</f>
        <v>324</v>
      </c>
    </row>
    <row r="3" spans="1:2" x14ac:dyDescent="0.35">
      <c r="A3" t="s">
        <v>44</v>
      </c>
      <c r="B3">
        <f>COUNTA('Sales Data'!A2:A81)</f>
        <v>80</v>
      </c>
    </row>
    <row r="4" spans="1:2" x14ac:dyDescent="0.35">
      <c r="A4" t="s">
        <v>45</v>
      </c>
      <c r="B4">
        <f>AVERAGE('Sales Data'!H2:H81)</f>
        <v>36697.5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/>
  </sheetViews>
  <sheetFormatPr defaultRowHeight="14.5" x14ac:dyDescent="0.35"/>
  <cols>
    <col min="1" max="1" width="63.54296875" bestFit="1" customWidth="1"/>
  </cols>
  <sheetData>
    <row r="1" spans="1:10" ht="23.5" x14ac:dyDescent="0.55000000000000004">
      <c r="A1" s="16" t="s">
        <v>55</v>
      </c>
      <c r="B1" s="16"/>
      <c r="C1" s="16"/>
      <c r="D1" s="16"/>
      <c r="E1" s="16"/>
      <c r="F1" s="15"/>
      <c r="G1" s="15"/>
      <c r="H1" s="15"/>
      <c r="I1" s="15"/>
      <c r="J1" s="15"/>
    </row>
    <row r="2" spans="1:10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</row>
    <row r="4" spans="1:10" s="18" customFormat="1" x14ac:dyDescent="0.35">
      <c r="A4" s="18" t="s">
        <v>42</v>
      </c>
      <c r="C4" s="18" t="s">
        <v>44</v>
      </c>
      <c r="E4" s="18" t="s">
        <v>43</v>
      </c>
      <c r="F4" s="19"/>
      <c r="G4" s="18" t="s">
        <v>45</v>
      </c>
    </row>
    <row r="5" spans="1:10" x14ac:dyDescent="0.35">
      <c r="A5">
        <f>Summary!B1</f>
        <v>2935800</v>
      </c>
      <c r="C5">
        <f>Summary!B3</f>
        <v>80</v>
      </c>
      <c r="E5">
        <f>Summary!B2</f>
        <v>324</v>
      </c>
      <c r="G5">
        <f>Summary!B4</f>
        <v>36697.5</v>
      </c>
    </row>
    <row r="6" spans="1:10" x14ac:dyDescent="0.35">
      <c r="G6" s="17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4" sqref="A4:B4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0" t="s">
        <v>46</v>
      </c>
      <c r="B3" t="s">
        <v>48</v>
      </c>
    </row>
    <row r="4" spans="1:2" x14ac:dyDescent="0.35">
      <c r="A4" s="14" t="s">
        <v>49</v>
      </c>
      <c r="B4" s="12">
        <v>415200</v>
      </c>
    </row>
    <row r="5" spans="1:2" x14ac:dyDescent="0.35">
      <c r="A5" s="14" t="s">
        <v>50</v>
      </c>
      <c r="B5" s="12">
        <v>541700</v>
      </c>
    </row>
    <row r="6" spans="1:2" x14ac:dyDescent="0.35">
      <c r="A6" s="14" t="s">
        <v>51</v>
      </c>
      <c r="B6" s="12">
        <v>292200</v>
      </c>
    </row>
    <row r="7" spans="1:2" x14ac:dyDescent="0.35">
      <c r="A7" s="14" t="s">
        <v>52</v>
      </c>
      <c r="B7" s="12">
        <v>759100</v>
      </c>
    </row>
    <row r="8" spans="1:2" x14ac:dyDescent="0.35">
      <c r="A8" s="14" t="s">
        <v>53</v>
      </c>
      <c r="B8" s="12">
        <v>251900</v>
      </c>
    </row>
    <row r="9" spans="1:2" x14ac:dyDescent="0.35">
      <c r="A9" s="14" t="s">
        <v>54</v>
      </c>
      <c r="B9" s="12">
        <v>675700</v>
      </c>
    </row>
    <row r="10" spans="1:2" x14ac:dyDescent="0.35">
      <c r="A10" s="14" t="s">
        <v>47</v>
      </c>
      <c r="B10" s="12">
        <v>2935800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4.5" x14ac:dyDescent="0.35"/>
  <cols>
    <col min="1" max="1" width="15.36328125" bestFit="1" customWidth="1"/>
    <col min="2" max="2" width="14.36328125" bestFit="1" customWidth="1"/>
  </cols>
  <sheetData>
    <row r="3" spans="1:2" x14ac:dyDescent="0.35">
      <c r="A3" s="10" t="s">
        <v>46</v>
      </c>
      <c r="B3" t="s">
        <v>48</v>
      </c>
    </row>
    <row r="4" spans="1:2" x14ac:dyDescent="0.35">
      <c r="A4" s="11" t="s">
        <v>25</v>
      </c>
      <c r="B4" s="12">
        <v>2235200</v>
      </c>
    </row>
    <row r="5" spans="1:2" x14ac:dyDescent="0.35">
      <c r="A5" s="11" t="s">
        <v>29</v>
      </c>
      <c r="B5" s="12">
        <v>429000</v>
      </c>
    </row>
    <row r="6" spans="1:2" x14ac:dyDescent="0.35">
      <c r="A6" s="11" t="s">
        <v>35</v>
      </c>
      <c r="B6" s="12">
        <v>57000</v>
      </c>
    </row>
    <row r="7" spans="1:2" x14ac:dyDescent="0.35">
      <c r="A7" s="11" t="s">
        <v>16</v>
      </c>
      <c r="B7" s="12">
        <v>56000</v>
      </c>
    </row>
    <row r="8" spans="1:2" x14ac:dyDescent="0.35">
      <c r="A8" s="11" t="s">
        <v>11</v>
      </c>
      <c r="B8" s="12">
        <v>158600</v>
      </c>
    </row>
    <row r="9" spans="1:2" x14ac:dyDescent="0.35">
      <c r="A9" s="11" t="s">
        <v>47</v>
      </c>
      <c r="B9" s="12">
        <v>2935800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C24" sqref="C24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0" t="s">
        <v>46</v>
      </c>
      <c r="B3" t="s">
        <v>48</v>
      </c>
    </row>
    <row r="4" spans="1:2" x14ac:dyDescent="0.35">
      <c r="A4" s="11" t="s">
        <v>24</v>
      </c>
      <c r="B4" s="12">
        <v>2200000</v>
      </c>
    </row>
    <row r="5" spans="1:2" x14ac:dyDescent="0.35">
      <c r="A5" s="11" t="s">
        <v>28</v>
      </c>
      <c r="B5" s="12">
        <v>273000</v>
      </c>
    </row>
    <row r="6" spans="1:2" x14ac:dyDescent="0.35">
      <c r="A6" s="11" t="s">
        <v>31</v>
      </c>
      <c r="B6" s="12">
        <v>156000</v>
      </c>
    </row>
    <row r="7" spans="1:2" x14ac:dyDescent="0.35">
      <c r="A7" s="11" t="s">
        <v>20</v>
      </c>
      <c r="B7" s="12">
        <v>95000</v>
      </c>
    </row>
    <row r="8" spans="1:2" x14ac:dyDescent="0.35">
      <c r="A8" s="11" t="s">
        <v>10</v>
      </c>
      <c r="B8" s="12">
        <v>63600</v>
      </c>
    </row>
    <row r="9" spans="1:2" x14ac:dyDescent="0.35">
      <c r="A9" s="11" t="s">
        <v>34</v>
      </c>
      <c r="B9" s="12">
        <v>57000</v>
      </c>
    </row>
    <row r="10" spans="1:2" x14ac:dyDescent="0.35">
      <c r="A10" s="11" t="s">
        <v>15</v>
      </c>
      <c r="B10" s="12">
        <v>56000</v>
      </c>
    </row>
    <row r="11" spans="1:2" x14ac:dyDescent="0.35">
      <c r="A11" s="11" t="s">
        <v>27</v>
      </c>
      <c r="B11" s="12">
        <v>35200</v>
      </c>
    </row>
    <row r="12" spans="1:2" x14ac:dyDescent="0.35">
      <c r="A12" s="11" t="s">
        <v>47</v>
      </c>
      <c r="B12" s="12">
        <v>2935800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0" t="s">
        <v>46</v>
      </c>
      <c r="B3" t="s">
        <v>48</v>
      </c>
    </row>
    <row r="4" spans="1:2" x14ac:dyDescent="0.35">
      <c r="A4" s="11" t="s">
        <v>32</v>
      </c>
      <c r="B4" s="12">
        <v>633600</v>
      </c>
    </row>
    <row r="5" spans="1:2" x14ac:dyDescent="0.35">
      <c r="A5" s="11" t="s">
        <v>21</v>
      </c>
      <c r="B5" s="12">
        <v>1028800</v>
      </c>
    </row>
    <row r="6" spans="1:2" x14ac:dyDescent="0.35">
      <c r="A6" s="11" t="s">
        <v>12</v>
      </c>
      <c r="B6" s="12">
        <v>779200</v>
      </c>
    </row>
    <row r="7" spans="1:2" x14ac:dyDescent="0.35">
      <c r="A7" s="11" t="s">
        <v>17</v>
      </c>
      <c r="B7" s="12">
        <v>494200</v>
      </c>
    </row>
    <row r="8" spans="1:2" x14ac:dyDescent="0.35">
      <c r="A8" s="11" t="s">
        <v>47</v>
      </c>
      <c r="B8" s="12">
        <v>2935800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0" t="s">
        <v>46</v>
      </c>
      <c r="B3" t="s">
        <v>48</v>
      </c>
    </row>
    <row r="4" spans="1:2" x14ac:dyDescent="0.35">
      <c r="A4" s="11" t="s">
        <v>33</v>
      </c>
      <c r="B4" s="12">
        <v>532500</v>
      </c>
    </row>
    <row r="5" spans="1:2" x14ac:dyDescent="0.35">
      <c r="A5" s="11" t="s">
        <v>13</v>
      </c>
      <c r="B5" s="12">
        <v>1239300</v>
      </c>
    </row>
    <row r="6" spans="1:2" x14ac:dyDescent="0.35">
      <c r="A6" s="11" t="s">
        <v>18</v>
      </c>
      <c r="B6" s="12">
        <v>198600</v>
      </c>
    </row>
    <row r="7" spans="1:2" x14ac:dyDescent="0.35">
      <c r="A7" s="11" t="s">
        <v>26</v>
      </c>
      <c r="B7" s="12">
        <v>724200</v>
      </c>
    </row>
    <row r="8" spans="1:2" x14ac:dyDescent="0.35">
      <c r="A8" s="11" t="s">
        <v>22</v>
      </c>
      <c r="B8" s="12">
        <v>241200</v>
      </c>
    </row>
    <row r="9" spans="1:2" x14ac:dyDescent="0.35">
      <c r="A9" s="11" t="s">
        <v>47</v>
      </c>
      <c r="B9" s="12">
        <v>2935800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opLeftCell="A2" workbookViewId="0">
      <selection activeCell="A12" sqref="A12:XFD12"/>
    </sheetView>
  </sheetViews>
  <sheetFormatPr defaultRowHeight="14.5" x14ac:dyDescent="0.35"/>
  <cols>
    <col min="1" max="1" width="10" customWidth="1"/>
    <col min="3" max="3" width="9.453125" customWidth="1"/>
    <col min="4" max="4" width="10.26953125" customWidth="1"/>
    <col min="6" max="6" width="10.1796875" customWidth="1"/>
    <col min="7" max="7" width="10.90625" customWidth="1"/>
    <col min="8" max="8" width="10" customWidth="1"/>
    <col min="9" max="9" width="10.26953125" customWidth="1"/>
    <col min="10" max="10" width="1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1001</v>
      </c>
      <c r="B2" s="13">
        <v>46034</v>
      </c>
      <c r="C2" t="s">
        <v>10</v>
      </c>
      <c r="D2" t="s">
        <v>11</v>
      </c>
      <c r="E2" t="s">
        <v>12</v>
      </c>
      <c r="F2">
        <v>7</v>
      </c>
      <c r="G2">
        <v>1200</v>
      </c>
      <c r="H2">
        <v>8400</v>
      </c>
      <c r="I2" t="s">
        <v>13</v>
      </c>
      <c r="J2" t="s">
        <v>14</v>
      </c>
    </row>
    <row r="3" spans="1:10" x14ac:dyDescent="0.35">
      <c r="A3">
        <v>1002</v>
      </c>
      <c r="B3" s="13">
        <v>46038</v>
      </c>
      <c r="C3" t="s">
        <v>15</v>
      </c>
      <c r="D3" t="s">
        <v>16</v>
      </c>
      <c r="E3" t="s">
        <v>17</v>
      </c>
      <c r="F3">
        <v>2</v>
      </c>
      <c r="G3">
        <v>3500</v>
      </c>
      <c r="H3">
        <v>7000</v>
      </c>
      <c r="I3" t="s">
        <v>18</v>
      </c>
      <c r="J3" t="s">
        <v>19</v>
      </c>
    </row>
    <row r="4" spans="1:10" x14ac:dyDescent="0.35">
      <c r="A4">
        <v>1003</v>
      </c>
      <c r="B4" s="13">
        <v>46126</v>
      </c>
      <c r="C4" t="s">
        <v>20</v>
      </c>
      <c r="D4" t="s">
        <v>11</v>
      </c>
      <c r="E4" t="s">
        <v>21</v>
      </c>
      <c r="F4">
        <v>1</v>
      </c>
      <c r="G4">
        <v>2500</v>
      </c>
      <c r="H4">
        <v>2500</v>
      </c>
      <c r="I4" t="s">
        <v>22</v>
      </c>
      <c r="J4" t="s">
        <v>23</v>
      </c>
    </row>
    <row r="5" spans="1:10" x14ac:dyDescent="0.35">
      <c r="A5">
        <v>1004</v>
      </c>
      <c r="B5" s="13">
        <v>46193</v>
      </c>
      <c r="C5" t="s">
        <v>24</v>
      </c>
      <c r="D5" t="s">
        <v>25</v>
      </c>
      <c r="E5" t="s">
        <v>12</v>
      </c>
      <c r="F5">
        <v>5</v>
      </c>
      <c r="G5">
        <v>50000</v>
      </c>
      <c r="H5">
        <v>250000</v>
      </c>
      <c r="I5" t="s">
        <v>26</v>
      </c>
      <c r="J5" t="s">
        <v>19</v>
      </c>
    </row>
    <row r="6" spans="1:10" x14ac:dyDescent="0.35">
      <c r="A6">
        <v>1005</v>
      </c>
      <c r="B6" s="13">
        <v>46203</v>
      </c>
      <c r="C6" t="s">
        <v>27</v>
      </c>
      <c r="D6" t="s">
        <v>25</v>
      </c>
      <c r="E6" t="s">
        <v>21</v>
      </c>
      <c r="F6">
        <v>1</v>
      </c>
      <c r="G6">
        <v>800</v>
      </c>
      <c r="H6">
        <v>800</v>
      </c>
      <c r="I6" t="s">
        <v>26</v>
      </c>
      <c r="J6" t="s">
        <v>19</v>
      </c>
    </row>
    <row r="7" spans="1:10" x14ac:dyDescent="0.35">
      <c r="A7">
        <v>1006</v>
      </c>
      <c r="B7" s="13">
        <v>46080</v>
      </c>
      <c r="C7" t="s">
        <v>28</v>
      </c>
      <c r="D7" t="s">
        <v>29</v>
      </c>
      <c r="E7" t="s">
        <v>12</v>
      </c>
      <c r="F7">
        <v>5</v>
      </c>
      <c r="G7">
        <v>7000</v>
      </c>
      <c r="H7">
        <v>35000</v>
      </c>
      <c r="I7" t="s">
        <v>13</v>
      </c>
      <c r="J7" t="s">
        <v>30</v>
      </c>
    </row>
    <row r="8" spans="1:10" x14ac:dyDescent="0.35">
      <c r="A8">
        <v>1007</v>
      </c>
      <c r="B8" s="13">
        <v>46030</v>
      </c>
      <c r="C8" t="s">
        <v>31</v>
      </c>
      <c r="D8" t="s">
        <v>29</v>
      </c>
      <c r="E8" t="s">
        <v>32</v>
      </c>
      <c r="F8">
        <v>8</v>
      </c>
      <c r="G8">
        <v>3000</v>
      </c>
      <c r="H8">
        <v>24000</v>
      </c>
      <c r="I8" t="s">
        <v>13</v>
      </c>
      <c r="J8" t="s">
        <v>30</v>
      </c>
    </row>
    <row r="9" spans="1:10" x14ac:dyDescent="0.35">
      <c r="A9">
        <v>1008</v>
      </c>
      <c r="B9" s="13">
        <v>46136</v>
      </c>
      <c r="C9" t="s">
        <v>20</v>
      </c>
      <c r="D9" t="s">
        <v>11</v>
      </c>
      <c r="E9" t="s">
        <v>12</v>
      </c>
      <c r="F9">
        <v>8</v>
      </c>
      <c r="G9">
        <v>2500</v>
      </c>
      <c r="H9">
        <v>20000</v>
      </c>
      <c r="I9" t="s">
        <v>33</v>
      </c>
      <c r="J9" t="s">
        <v>30</v>
      </c>
    </row>
    <row r="10" spans="1:10" x14ac:dyDescent="0.35">
      <c r="A10">
        <v>1009</v>
      </c>
      <c r="B10" s="13">
        <v>46169</v>
      </c>
      <c r="C10" t="s">
        <v>15</v>
      </c>
      <c r="D10" t="s">
        <v>16</v>
      </c>
      <c r="E10" t="s">
        <v>32</v>
      </c>
      <c r="F10">
        <v>5</v>
      </c>
      <c r="G10">
        <v>3500</v>
      </c>
      <c r="H10">
        <v>17500</v>
      </c>
      <c r="I10" t="s">
        <v>33</v>
      </c>
      <c r="J10" t="s">
        <v>14</v>
      </c>
    </row>
    <row r="11" spans="1:10" x14ac:dyDescent="0.35">
      <c r="A11">
        <v>1010</v>
      </c>
      <c r="B11" s="13">
        <v>46156</v>
      </c>
      <c r="C11" t="s">
        <v>34</v>
      </c>
      <c r="D11" t="s">
        <v>35</v>
      </c>
      <c r="E11" t="s">
        <v>17</v>
      </c>
      <c r="F11">
        <v>6</v>
      </c>
      <c r="G11">
        <v>1500</v>
      </c>
      <c r="H11">
        <v>9000</v>
      </c>
      <c r="I11" t="s">
        <v>18</v>
      </c>
      <c r="J11" t="s">
        <v>36</v>
      </c>
    </row>
    <row r="12" spans="1:10" x14ac:dyDescent="0.35">
      <c r="A12">
        <v>1011</v>
      </c>
      <c r="B12" s="13">
        <v>46185</v>
      </c>
      <c r="C12" t="s">
        <v>34</v>
      </c>
      <c r="D12" t="s">
        <v>35</v>
      </c>
      <c r="E12" t="s">
        <v>21</v>
      </c>
      <c r="F12">
        <v>6</v>
      </c>
      <c r="G12">
        <v>1500</v>
      </c>
      <c r="H12">
        <v>9000</v>
      </c>
      <c r="I12" t="s">
        <v>13</v>
      </c>
      <c r="J12" t="s">
        <v>14</v>
      </c>
    </row>
    <row r="13" spans="1:10" x14ac:dyDescent="0.35">
      <c r="A13">
        <v>1012</v>
      </c>
      <c r="B13" s="13">
        <v>46144</v>
      </c>
      <c r="C13" t="s">
        <v>20</v>
      </c>
      <c r="D13" t="s">
        <v>11</v>
      </c>
      <c r="E13" t="s">
        <v>32</v>
      </c>
      <c r="F13">
        <v>8</v>
      </c>
      <c r="G13">
        <v>2500</v>
      </c>
      <c r="H13">
        <v>20000</v>
      </c>
      <c r="I13" t="s">
        <v>33</v>
      </c>
      <c r="J13" t="s">
        <v>37</v>
      </c>
    </row>
    <row r="14" spans="1:10" x14ac:dyDescent="0.35">
      <c r="A14">
        <v>1013</v>
      </c>
      <c r="B14" s="13">
        <v>46068</v>
      </c>
      <c r="C14" t="s">
        <v>24</v>
      </c>
      <c r="D14" t="s">
        <v>25</v>
      </c>
      <c r="E14" t="s">
        <v>21</v>
      </c>
      <c r="F14">
        <v>6</v>
      </c>
      <c r="G14">
        <v>50000</v>
      </c>
      <c r="H14">
        <v>300000</v>
      </c>
      <c r="I14" t="s">
        <v>13</v>
      </c>
      <c r="J14" t="s">
        <v>38</v>
      </c>
    </row>
    <row r="15" spans="1:10" x14ac:dyDescent="0.35">
      <c r="A15">
        <v>1014</v>
      </c>
      <c r="B15" s="13">
        <v>46174</v>
      </c>
      <c r="C15" t="s">
        <v>24</v>
      </c>
      <c r="D15" t="s">
        <v>25</v>
      </c>
      <c r="E15" t="s">
        <v>21</v>
      </c>
      <c r="F15">
        <v>6</v>
      </c>
      <c r="G15">
        <v>50000</v>
      </c>
      <c r="H15">
        <v>300000</v>
      </c>
      <c r="I15" t="s">
        <v>13</v>
      </c>
      <c r="J15" t="s">
        <v>19</v>
      </c>
    </row>
    <row r="16" spans="1:10" x14ac:dyDescent="0.35">
      <c r="A16">
        <v>1015</v>
      </c>
      <c r="B16" s="13">
        <v>46053</v>
      </c>
      <c r="C16" t="s">
        <v>34</v>
      </c>
      <c r="D16" t="s">
        <v>35</v>
      </c>
      <c r="E16" t="s">
        <v>32</v>
      </c>
      <c r="F16">
        <v>1</v>
      </c>
      <c r="G16">
        <v>1500</v>
      </c>
      <c r="H16">
        <v>1500</v>
      </c>
      <c r="I16" t="s">
        <v>22</v>
      </c>
      <c r="J16" t="s">
        <v>19</v>
      </c>
    </row>
    <row r="17" spans="1:10" x14ac:dyDescent="0.35">
      <c r="A17">
        <v>1016</v>
      </c>
      <c r="B17" s="13">
        <v>46050</v>
      </c>
      <c r="C17" t="s">
        <v>10</v>
      </c>
      <c r="D17" t="s">
        <v>11</v>
      </c>
      <c r="E17" t="s">
        <v>32</v>
      </c>
      <c r="F17">
        <v>8</v>
      </c>
      <c r="G17">
        <v>1200</v>
      </c>
      <c r="H17">
        <v>9600</v>
      </c>
      <c r="I17" t="s">
        <v>13</v>
      </c>
      <c r="J17" t="s">
        <v>19</v>
      </c>
    </row>
    <row r="18" spans="1:10" x14ac:dyDescent="0.35">
      <c r="A18">
        <v>1017</v>
      </c>
      <c r="B18" s="13">
        <v>46088</v>
      </c>
      <c r="C18" t="s">
        <v>34</v>
      </c>
      <c r="D18" t="s">
        <v>35</v>
      </c>
      <c r="E18" t="s">
        <v>32</v>
      </c>
      <c r="F18">
        <v>3</v>
      </c>
      <c r="G18">
        <v>1500</v>
      </c>
      <c r="H18">
        <v>4500</v>
      </c>
      <c r="I18" t="s">
        <v>33</v>
      </c>
      <c r="J18" t="s">
        <v>39</v>
      </c>
    </row>
    <row r="19" spans="1:10" x14ac:dyDescent="0.35">
      <c r="A19">
        <v>1018</v>
      </c>
      <c r="B19" s="13">
        <v>46140</v>
      </c>
      <c r="C19" t="s">
        <v>27</v>
      </c>
      <c r="D19" t="s">
        <v>25</v>
      </c>
      <c r="E19" t="s">
        <v>32</v>
      </c>
      <c r="F19">
        <v>2</v>
      </c>
      <c r="G19">
        <v>800</v>
      </c>
      <c r="H19">
        <v>1600</v>
      </c>
      <c r="I19" t="s">
        <v>18</v>
      </c>
      <c r="J19" t="s">
        <v>38</v>
      </c>
    </row>
    <row r="20" spans="1:10" x14ac:dyDescent="0.35">
      <c r="A20">
        <v>1019</v>
      </c>
      <c r="B20" s="13">
        <v>46191</v>
      </c>
      <c r="C20" t="s">
        <v>28</v>
      </c>
      <c r="D20" t="s">
        <v>29</v>
      </c>
      <c r="E20" t="s">
        <v>12</v>
      </c>
      <c r="F20">
        <v>5</v>
      </c>
      <c r="G20">
        <v>7000</v>
      </c>
      <c r="H20">
        <v>35000</v>
      </c>
      <c r="I20" t="s">
        <v>26</v>
      </c>
      <c r="J20" t="s">
        <v>37</v>
      </c>
    </row>
    <row r="21" spans="1:10" x14ac:dyDescent="0.35">
      <c r="A21">
        <v>1020</v>
      </c>
      <c r="B21" s="13">
        <v>46054</v>
      </c>
      <c r="C21" t="s">
        <v>20</v>
      </c>
      <c r="D21" t="s">
        <v>11</v>
      </c>
      <c r="E21" t="s">
        <v>17</v>
      </c>
      <c r="F21">
        <v>1</v>
      </c>
      <c r="G21">
        <v>2500</v>
      </c>
      <c r="H21">
        <v>2500</v>
      </c>
      <c r="I21" t="s">
        <v>22</v>
      </c>
      <c r="J21" t="s">
        <v>40</v>
      </c>
    </row>
    <row r="22" spans="1:10" x14ac:dyDescent="0.35">
      <c r="A22">
        <v>1021</v>
      </c>
      <c r="B22" s="13">
        <v>46097</v>
      </c>
      <c r="C22" t="s">
        <v>31</v>
      </c>
      <c r="D22" t="s">
        <v>29</v>
      </c>
      <c r="E22" t="s">
        <v>32</v>
      </c>
      <c r="F22">
        <v>6</v>
      </c>
      <c r="G22">
        <v>3000</v>
      </c>
      <c r="H22">
        <v>18000</v>
      </c>
      <c r="I22" t="s">
        <v>26</v>
      </c>
      <c r="J22" t="s">
        <v>38</v>
      </c>
    </row>
    <row r="23" spans="1:10" x14ac:dyDescent="0.35">
      <c r="A23">
        <v>1022</v>
      </c>
      <c r="B23" s="13">
        <v>46063</v>
      </c>
      <c r="C23" t="s">
        <v>27</v>
      </c>
      <c r="D23" t="s">
        <v>25</v>
      </c>
      <c r="E23" t="s">
        <v>32</v>
      </c>
      <c r="F23">
        <v>5</v>
      </c>
      <c r="G23">
        <v>800</v>
      </c>
      <c r="H23">
        <v>4000</v>
      </c>
      <c r="I23" t="s">
        <v>18</v>
      </c>
      <c r="J23" t="s">
        <v>36</v>
      </c>
    </row>
    <row r="24" spans="1:10" x14ac:dyDescent="0.35">
      <c r="A24">
        <v>1023</v>
      </c>
      <c r="B24" s="13">
        <v>46043</v>
      </c>
      <c r="C24" t="s">
        <v>10</v>
      </c>
      <c r="D24" t="s">
        <v>11</v>
      </c>
      <c r="E24" t="s">
        <v>12</v>
      </c>
      <c r="F24">
        <v>1</v>
      </c>
      <c r="G24">
        <v>1200</v>
      </c>
      <c r="H24">
        <v>1200</v>
      </c>
      <c r="I24" t="s">
        <v>22</v>
      </c>
      <c r="J24" t="s">
        <v>14</v>
      </c>
    </row>
    <row r="25" spans="1:10" x14ac:dyDescent="0.35">
      <c r="A25">
        <v>1024</v>
      </c>
      <c r="B25" s="13">
        <v>46076</v>
      </c>
      <c r="C25" t="s">
        <v>31</v>
      </c>
      <c r="D25" t="s">
        <v>29</v>
      </c>
      <c r="E25" t="s">
        <v>12</v>
      </c>
      <c r="F25">
        <v>2</v>
      </c>
      <c r="G25">
        <v>3000</v>
      </c>
      <c r="H25">
        <v>6000</v>
      </c>
      <c r="I25" t="s">
        <v>26</v>
      </c>
      <c r="J25" t="s">
        <v>36</v>
      </c>
    </row>
    <row r="26" spans="1:10" x14ac:dyDescent="0.35">
      <c r="A26">
        <v>1025</v>
      </c>
      <c r="B26" s="13">
        <v>46202</v>
      </c>
      <c r="C26" t="s">
        <v>28</v>
      </c>
      <c r="D26" t="s">
        <v>29</v>
      </c>
      <c r="E26" t="s">
        <v>12</v>
      </c>
      <c r="F26">
        <v>3</v>
      </c>
      <c r="G26">
        <v>7000</v>
      </c>
      <c r="H26">
        <v>21000</v>
      </c>
      <c r="I26" t="s">
        <v>13</v>
      </c>
      <c r="J26" t="s">
        <v>14</v>
      </c>
    </row>
    <row r="27" spans="1:10" x14ac:dyDescent="0.35">
      <c r="A27">
        <v>1026</v>
      </c>
      <c r="B27" s="13">
        <v>46157</v>
      </c>
      <c r="C27" t="s">
        <v>31</v>
      </c>
      <c r="D27" t="s">
        <v>29</v>
      </c>
      <c r="E27" t="s">
        <v>17</v>
      </c>
      <c r="F27">
        <v>7</v>
      </c>
      <c r="G27">
        <v>3000</v>
      </c>
      <c r="H27">
        <v>21000</v>
      </c>
      <c r="I27" t="s">
        <v>18</v>
      </c>
      <c r="J27" t="s">
        <v>41</v>
      </c>
    </row>
    <row r="28" spans="1:10" x14ac:dyDescent="0.35">
      <c r="A28">
        <v>1027</v>
      </c>
      <c r="B28" s="13">
        <v>46033</v>
      </c>
      <c r="C28" t="s">
        <v>20</v>
      </c>
      <c r="D28" t="s">
        <v>11</v>
      </c>
      <c r="E28" t="s">
        <v>17</v>
      </c>
      <c r="F28">
        <v>3</v>
      </c>
      <c r="G28">
        <v>2500</v>
      </c>
      <c r="H28">
        <v>7500</v>
      </c>
      <c r="I28" t="s">
        <v>13</v>
      </c>
      <c r="J28" t="s">
        <v>40</v>
      </c>
    </row>
    <row r="29" spans="1:10" x14ac:dyDescent="0.35">
      <c r="A29">
        <v>1028</v>
      </c>
      <c r="B29" s="13">
        <v>46046</v>
      </c>
      <c r="C29" t="s">
        <v>34</v>
      </c>
      <c r="D29" t="s">
        <v>35</v>
      </c>
      <c r="E29" t="s">
        <v>21</v>
      </c>
      <c r="F29">
        <v>8</v>
      </c>
      <c r="G29">
        <v>1500</v>
      </c>
      <c r="H29">
        <v>12000</v>
      </c>
      <c r="I29" t="s">
        <v>18</v>
      </c>
      <c r="J29" t="s">
        <v>30</v>
      </c>
    </row>
    <row r="30" spans="1:10" x14ac:dyDescent="0.35">
      <c r="A30">
        <v>1029</v>
      </c>
      <c r="B30" s="13">
        <v>46119</v>
      </c>
      <c r="C30" t="s">
        <v>24</v>
      </c>
      <c r="D30" t="s">
        <v>25</v>
      </c>
      <c r="E30" t="s">
        <v>32</v>
      </c>
      <c r="F30">
        <v>8</v>
      </c>
      <c r="G30">
        <v>50000</v>
      </c>
      <c r="H30">
        <v>400000</v>
      </c>
      <c r="I30" t="s">
        <v>33</v>
      </c>
      <c r="J30" t="s">
        <v>36</v>
      </c>
    </row>
    <row r="31" spans="1:10" x14ac:dyDescent="0.35">
      <c r="A31">
        <v>1030</v>
      </c>
      <c r="B31" s="13">
        <v>46087</v>
      </c>
      <c r="C31" t="s">
        <v>20</v>
      </c>
      <c r="D31" t="s">
        <v>11</v>
      </c>
      <c r="E31" t="s">
        <v>32</v>
      </c>
      <c r="F31">
        <v>8</v>
      </c>
      <c r="G31">
        <v>2500</v>
      </c>
      <c r="H31">
        <v>20000</v>
      </c>
      <c r="I31" t="s">
        <v>22</v>
      </c>
      <c r="J31" t="s">
        <v>30</v>
      </c>
    </row>
    <row r="32" spans="1:10" x14ac:dyDescent="0.35">
      <c r="A32">
        <v>1031</v>
      </c>
      <c r="B32" s="13">
        <v>46082</v>
      </c>
      <c r="C32" t="s">
        <v>34</v>
      </c>
      <c r="D32" t="s">
        <v>35</v>
      </c>
      <c r="E32" t="s">
        <v>32</v>
      </c>
      <c r="F32">
        <v>5</v>
      </c>
      <c r="G32">
        <v>1500</v>
      </c>
      <c r="H32">
        <v>7500</v>
      </c>
      <c r="I32" t="s">
        <v>13</v>
      </c>
      <c r="J32" t="s">
        <v>23</v>
      </c>
    </row>
    <row r="33" spans="1:10" x14ac:dyDescent="0.35">
      <c r="A33">
        <v>1032</v>
      </c>
      <c r="B33" s="13">
        <v>46069</v>
      </c>
      <c r="C33" t="s">
        <v>27</v>
      </c>
      <c r="D33" t="s">
        <v>25</v>
      </c>
      <c r="E33" t="s">
        <v>12</v>
      </c>
      <c r="F33">
        <v>6</v>
      </c>
      <c r="G33">
        <v>800</v>
      </c>
      <c r="H33">
        <v>4800</v>
      </c>
      <c r="I33" t="s">
        <v>33</v>
      </c>
      <c r="J33" t="s">
        <v>38</v>
      </c>
    </row>
    <row r="34" spans="1:10" x14ac:dyDescent="0.35">
      <c r="A34">
        <v>1033</v>
      </c>
      <c r="B34" s="13">
        <v>46091</v>
      </c>
      <c r="C34" t="s">
        <v>27</v>
      </c>
      <c r="D34" t="s">
        <v>25</v>
      </c>
      <c r="E34" t="s">
        <v>21</v>
      </c>
      <c r="F34">
        <v>6</v>
      </c>
      <c r="G34">
        <v>800</v>
      </c>
      <c r="H34">
        <v>4800</v>
      </c>
      <c r="I34" t="s">
        <v>22</v>
      </c>
      <c r="J34" t="s">
        <v>40</v>
      </c>
    </row>
    <row r="35" spans="1:10" x14ac:dyDescent="0.35">
      <c r="A35">
        <v>1034</v>
      </c>
      <c r="B35" s="13">
        <v>46176</v>
      </c>
      <c r="C35" t="s">
        <v>28</v>
      </c>
      <c r="D35" t="s">
        <v>29</v>
      </c>
      <c r="E35" t="s">
        <v>21</v>
      </c>
      <c r="F35">
        <v>5</v>
      </c>
      <c r="G35">
        <v>7000</v>
      </c>
      <c r="H35">
        <v>35000</v>
      </c>
      <c r="I35" t="s">
        <v>26</v>
      </c>
      <c r="J35" t="s">
        <v>23</v>
      </c>
    </row>
    <row r="36" spans="1:10" x14ac:dyDescent="0.35">
      <c r="A36">
        <v>1035</v>
      </c>
      <c r="B36" s="13">
        <v>46143</v>
      </c>
      <c r="C36" t="s">
        <v>10</v>
      </c>
      <c r="D36" t="s">
        <v>11</v>
      </c>
      <c r="E36" t="s">
        <v>12</v>
      </c>
      <c r="F36">
        <v>3</v>
      </c>
      <c r="G36">
        <v>1200</v>
      </c>
      <c r="H36">
        <v>3600</v>
      </c>
      <c r="I36" t="s">
        <v>33</v>
      </c>
      <c r="J36" t="s">
        <v>41</v>
      </c>
    </row>
    <row r="37" spans="1:10" x14ac:dyDescent="0.35">
      <c r="A37">
        <v>1036</v>
      </c>
      <c r="B37" s="13">
        <v>46144</v>
      </c>
      <c r="C37" t="s">
        <v>27</v>
      </c>
      <c r="D37" t="s">
        <v>25</v>
      </c>
      <c r="E37" t="s">
        <v>12</v>
      </c>
      <c r="F37">
        <v>3</v>
      </c>
      <c r="G37">
        <v>800</v>
      </c>
      <c r="H37">
        <v>2400</v>
      </c>
      <c r="I37" t="s">
        <v>18</v>
      </c>
      <c r="J37" t="s">
        <v>14</v>
      </c>
    </row>
    <row r="38" spans="1:10" x14ac:dyDescent="0.35">
      <c r="A38">
        <v>1037</v>
      </c>
      <c r="B38" s="13">
        <v>46042</v>
      </c>
      <c r="C38" t="s">
        <v>20</v>
      </c>
      <c r="D38" t="s">
        <v>11</v>
      </c>
      <c r="E38" t="s">
        <v>32</v>
      </c>
      <c r="F38">
        <v>3</v>
      </c>
      <c r="G38">
        <v>2500</v>
      </c>
      <c r="H38">
        <v>7500</v>
      </c>
      <c r="I38" t="s">
        <v>33</v>
      </c>
      <c r="J38" t="s">
        <v>38</v>
      </c>
    </row>
    <row r="39" spans="1:10" x14ac:dyDescent="0.35">
      <c r="A39">
        <v>1038</v>
      </c>
      <c r="B39" s="13">
        <v>46073</v>
      </c>
      <c r="C39" t="s">
        <v>27</v>
      </c>
      <c r="D39" t="s">
        <v>25</v>
      </c>
      <c r="E39" t="s">
        <v>12</v>
      </c>
      <c r="F39">
        <v>3</v>
      </c>
      <c r="G39">
        <v>800</v>
      </c>
      <c r="H39">
        <v>2400</v>
      </c>
      <c r="I39" t="s">
        <v>22</v>
      </c>
      <c r="J39" t="s">
        <v>39</v>
      </c>
    </row>
    <row r="40" spans="1:10" x14ac:dyDescent="0.35">
      <c r="A40">
        <v>1039</v>
      </c>
      <c r="B40" s="13">
        <v>46037</v>
      </c>
      <c r="C40" t="s">
        <v>27</v>
      </c>
      <c r="D40" t="s">
        <v>25</v>
      </c>
      <c r="E40" t="s">
        <v>17</v>
      </c>
      <c r="F40">
        <v>6</v>
      </c>
      <c r="G40">
        <v>800</v>
      </c>
      <c r="H40">
        <v>4800</v>
      </c>
      <c r="I40" t="s">
        <v>33</v>
      </c>
      <c r="J40" t="s">
        <v>23</v>
      </c>
    </row>
    <row r="41" spans="1:10" x14ac:dyDescent="0.35">
      <c r="A41">
        <v>1040</v>
      </c>
      <c r="B41" s="13">
        <v>46170</v>
      </c>
      <c r="C41" t="s">
        <v>10</v>
      </c>
      <c r="D41" t="s">
        <v>11</v>
      </c>
      <c r="E41" t="s">
        <v>17</v>
      </c>
      <c r="F41">
        <v>2</v>
      </c>
      <c r="G41">
        <v>1200</v>
      </c>
      <c r="H41">
        <v>2400</v>
      </c>
      <c r="I41" t="s">
        <v>33</v>
      </c>
      <c r="J41" t="s">
        <v>39</v>
      </c>
    </row>
    <row r="42" spans="1:10" x14ac:dyDescent="0.35">
      <c r="A42">
        <v>1041</v>
      </c>
      <c r="B42" s="13">
        <v>46120</v>
      </c>
      <c r="C42" t="s">
        <v>15</v>
      </c>
      <c r="D42" t="s">
        <v>16</v>
      </c>
      <c r="E42" t="s">
        <v>12</v>
      </c>
      <c r="F42">
        <v>4</v>
      </c>
      <c r="G42">
        <v>3500</v>
      </c>
      <c r="H42">
        <v>14000</v>
      </c>
      <c r="I42" t="s">
        <v>33</v>
      </c>
      <c r="J42" t="s">
        <v>39</v>
      </c>
    </row>
    <row r="43" spans="1:10" x14ac:dyDescent="0.35">
      <c r="A43">
        <v>1042</v>
      </c>
      <c r="B43" s="13">
        <v>46151</v>
      </c>
      <c r="C43" t="s">
        <v>10</v>
      </c>
      <c r="D43" t="s">
        <v>11</v>
      </c>
      <c r="E43" t="s">
        <v>21</v>
      </c>
      <c r="F43">
        <v>1</v>
      </c>
      <c r="G43">
        <v>1200</v>
      </c>
      <c r="H43">
        <v>1200</v>
      </c>
      <c r="I43" t="s">
        <v>22</v>
      </c>
      <c r="J43" t="s">
        <v>23</v>
      </c>
    </row>
    <row r="44" spans="1:10" x14ac:dyDescent="0.35">
      <c r="A44">
        <v>1043</v>
      </c>
      <c r="B44" s="13">
        <v>46080</v>
      </c>
      <c r="C44" t="s">
        <v>24</v>
      </c>
      <c r="D44" t="s">
        <v>25</v>
      </c>
      <c r="E44" t="s">
        <v>21</v>
      </c>
      <c r="F44">
        <v>3</v>
      </c>
      <c r="G44">
        <v>50000</v>
      </c>
      <c r="H44">
        <v>150000</v>
      </c>
      <c r="I44" t="s">
        <v>22</v>
      </c>
      <c r="J44" t="s">
        <v>37</v>
      </c>
    </row>
    <row r="45" spans="1:10" x14ac:dyDescent="0.35">
      <c r="A45">
        <v>1044</v>
      </c>
      <c r="B45" s="13">
        <v>46165</v>
      </c>
      <c r="C45" t="s">
        <v>24</v>
      </c>
      <c r="D45" t="s">
        <v>25</v>
      </c>
      <c r="E45" t="s">
        <v>12</v>
      </c>
      <c r="F45">
        <v>2</v>
      </c>
      <c r="G45">
        <v>50000</v>
      </c>
      <c r="H45">
        <v>100000</v>
      </c>
      <c r="I45" t="s">
        <v>13</v>
      </c>
      <c r="J45" t="s">
        <v>41</v>
      </c>
    </row>
    <row r="46" spans="1:10" x14ac:dyDescent="0.35">
      <c r="A46">
        <v>1045</v>
      </c>
      <c r="B46" s="13">
        <v>46058</v>
      </c>
      <c r="C46" t="s">
        <v>15</v>
      </c>
      <c r="D46" t="s">
        <v>16</v>
      </c>
      <c r="E46" t="s">
        <v>32</v>
      </c>
      <c r="F46">
        <v>1</v>
      </c>
      <c r="G46">
        <v>3500</v>
      </c>
      <c r="H46">
        <v>3500</v>
      </c>
      <c r="I46" t="s">
        <v>22</v>
      </c>
      <c r="J46" t="s">
        <v>36</v>
      </c>
    </row>
    <row r="47" spans="1:10" x14ac:dyDescent="0.35">
      <c r="A47">
        <v>1046</v>
      </c>
      <c r="B47" s="13">
        <v>46047</v>
      </c>
      <c r="C47" t="s">
        <v>34</v>
      </c>
      <c r="D47" t="s">
        <v>35</v>
      </c>
      <c r="E47" t="s">
        <v>32</v>
      </c>
      <c r="F47">
        <v>1</v>
      </c>
      <c r="G47">
        <v>1500</v>
      </c>
      <c r="H47">
        <v>1500</v>
      </c>
      <c r="I47" t="s">
        <v>13</v>
      </c>
      <c r="J47" t="s">
        <v>41</v>
      </c>
    </row>
    <row r="48" spans="1:10" x14ac:dyDescent="0.35">
      <c r="A48">
        <v>1047</v>
      </c>
      <c r="B48" s="13">
        <v>46152</v>
      </c>
      <c r="C48" t="s">
        <v>28</v>
      </c>
      <c r="D48" t="s">
        <v>29</v>
      </c>
      <c r="E48" t="s">
        <v>12</v>
      </c>
      <c r="F48">
        <v>4</v>
      </c>
      <c r="G48">
        <v>7000</v>
      </c>
      <c r="H48">
        <v>28000</v>
      </c>
      <c r="I48" t="s">
        <v>13</v>
      </c>
      <c r="J48" t="s">
        <v>40</v>
      </c>
    </row>
    <row r="49" spans="1:10" x14ac:dyDescent="0.35">
      <c r="A49">
        <v>1048</v>
      </c>
      <c r="B49" s="13">
        <v>46078</v>
      </c>
      <c r="C49" t="s">
        <v>34</v>
      </c>
      <c r="D49" t="s">
        <v>35</v>
      </c>
      <c r="E49" t="s">
        <v>32</v>
      </c>
      <c r="F49">
        <v>3</v>
      </c>
      <c r="G49">
        <v>1500</v>
      </c>
      <c r="H49">
        <v>4500</v>
      </c>
      <c r="I49" t="s">
        <v>22</v>
      </c>
      <c r="J49" t="s">
        <v>19</v>
      </c>
    </row>
    <row r="50" spans="1:10" x14ac:dyDescent="0.35">
      <c r="A50">
        <v>1049</v>
      </c>
      <c r="B50" s="13">
        <v>46127</v>
      </c>
      <c r="C50" t="s">
        <v>28</v>
      </c>
      <c r="D50" t="s">
        <v>29</v>
      </c>
      <c r="E50" t="s">
        <v>12</v>
      </c>
      <c r="F50">
        <v>5</v>
      </c>
      <c r="G50">
        <v>7000</v>
      </c>
      <c r="H50">
        <v>35000</v>
      </c>
      <c r="I50" t="s">
        <v>18</v>
      </c>
      <c r="J50" t="s">
        <v>39</v>
      </c>
    </row>
    <row r="51" spans="1:10" x14ac:dyDescent="0.35">
      <c r="A51">
        <v>1050</v>
      </c>
      <c r="B51" s="13">
        <v>46197</v>
      </c>
      <c r="C51" t="s">
        <v>31</v>
      </c>
      <c r="D51" t="s">
        <v>29</v>
      </c>
      <c r="E51" t="s">
        <v>12</v>
      </c>
      <c r="F51">
        <v>1</v>
      </c>
      <c r="G51">
        <v>3000</v>
      </c>
      <c r="H51">
        <v>3000</v>
      </c>
      <c r="I51" t="s">
        <v>26</v>
      </c>
      <c r="J51" t="s">
        <v>40</v>
      </c>
    </row>
    <row r="52" spans="1:10" x14ac:dyDescent="0.35">
      <c r="A52">
        <v>1051</v>
      </c>
      <c r="B52" s="13">
        <v>46054</v>
      </c>
      <c r="C52" t="s">
        <v>20</v>
      </c>
      <c r="D52" t="s">
        <v>11</v>
      </c>
      <c r="E52" t="s">
        <v>12</v>
      </c>
      <c r="F52">
        <v>1</v>
      </c>
      <c r="G52">
        <v>2500</v>
      </c>
      <c r="H52">
        <v>2500</v>
      </c>
      <c r="I52" t="s">
        <v>22</v>
      </c>
      <c r="J52" t="s">
        <v>36</v>
      </c>
    </row>
    <row r="53" spans="1:10" x14ac:dyDescent="0.35">
      <c r="A53">
        <v>1052</v>
      </c>
      <c r="B53" s="13">
        <v>46099</v>
      </c>
      <c r="C53" t="s">
        <v>15</v>
      </c>
      <c r="D53" t="s">
        <v>16</v>
      </c>
      <c r="E53" t="s">
        <v>32</v>
      </c>
      <c r="F53">
        <v>2</v>
      </c>
      <c r="G53">
        <v>3500</v>
      </c>
      <c r="H53">
        <v>7000</v>
      </c>
      <c r="I53" t="s">
        <v>22</v>
      </c>
      <c r="J53" t="s">
        <v>30</v>
      </c>
    </row>
    <row r="54" spans="1:10" x14ac:dyDescent="0.35">
      <c r="A54">
        <v>1053</v>
      </c>
      <c r="B54" s="13">
        <v>46045</v>
      </c>
      <c r="C54" t="s">
        <v>24</v>
      </c>
      <c r="D54" t="s">
        <v>25</v>
      </c>
      <c r="E54" t="s">
        <v>17</v>
      </c>
      <c r="F54">
        <v>3</v>
      </c>
      <c r="G54">
        <v>50000</v>
      </c>
      <c r="H54">
        <v>150000</v>
      </c>
      <c r="I54" t="s">
        <v>13</v>
      </c>
      <c r="J54" t="s">
        <v>37</v>
      </c>
    </row>
    <row r="55" spans="1:10" x14ac:dyDescent="0.35">
      <c r="A55">
        <v>1054</v>
      </c>
      <c r="B55" s="13">
        <v>46114</v>
      </c>
      <c r="C55" t="s">
        <v>10</v>
      </c>
      <c r="D55" t="s">
        <v>11</v>
      </c>
      <c r="E55" t="s">
        <v>32</v>
      </c>
      <c r="F55">
        <v>8</v>
      </c>
      <c r="G55">
        <v>1200</v>
      </c>
      <c r="H55">
        <v>9600</v>
      </c>
      <c r="I55" t="s">
        <v>13</v>
      </c>
      <c r="J55" t="s">
        <v>23</v>
      </c>
    </row>
    <row r="56" spans="1:10" x14ac:dyDescent="0.35">
      <c r="A56">
        <v>1055</v>
      </c>
      <c r="B56" s="13">
        <v>46073</v>
      </c>
      <c r="C56" t="s">
        <v>27</v>
      </c>
      <c r="D56" t="s">
        <v>25</v>
      </c>
      <c r="E56" t="s">
        <v>17</v>
      </c>
      <c r="F56">
        <v>5</v>
      </c>
      <c r="G56">
        <v>800</v>
      </c>
      <c r="H56">
        <v>4000</v>
      </c>
      <c r="I56" t="s">
        <v>22</v>
      </c>
      <c r="J56" t="s">
        <v>40</v>
      </c>
    </row>
    <row r="57" spans="1:10" x14ac:dyDescent="0.35">
      <c r="A57">
        <v>1056</v>
      </c>
      <c r="B57" s="13">
        <v>46026</v>
      </c>
      <c r="C57" t="s">
        <v>27</v>
      </c>
      <c r="D57" t="s">
        <v>25</v>
      </c>
      <c r="E57" t="s">
        <v>32</v>
      </c>
      <c r="F57">
        <v>4</v>
      </c>
      <c r="G57">
        <v>800</v>
      </c>
      <c r="H57">
        <v>3200</v>
      </c>
      <c r="I57" t="s">
        <v>22</v>
      </c>
      <c r="J57" t="s">
        <v>23</v>
      </c>
    </row>
    <row r="58" spans="1:10" x14ac:dyDescent="0.35">
      <c r="A58">
        <v>1057</v>
      </c>
      <c r="B58" s="13">
        <v>46070</v>
      </c>
      <c r="C58" t="s">
        <v>31</v>
      </c>
      <c r="D58" t="s">
        <v>29</v>
      </c>
      <c r="E58" t="s">
        <v>21</v>
      </c>
      <c r="F58">
        <v>1</v>
      </c>
      <c r="G58">
        <v>3000</v>
      </c>
      <c r="H58">
        <v>3000</v>
      </c>
      <c r="I58" t="s">
        <v>18</v>
      </c>
      <c r="J58" t="s">
        <v>19</v>
      </c>
    </row>
    <row r="59" spans="1:10" x14ac:dyDescent="0.35">
      <c r="A59">
        <v>1058</v>
      </c>
      <c r="B59" s="13">
        <v>46035</v>
      </c>
      <c r="C59" t="s">
        <v>24</v>
      </c>
      <c r="D59" t="s">
        <v>25</v>
      </c>
      <c r="E59" t="s">
        <v>21</v>
      </c>
      <c r="F59">
        <v>3</v>
      </c>
      <c r="G59">
        <v>50000</v>
      </c>
      <c r="H59">
        <v>150000</v>
      </c>
      <c r="I59" t="s">
        <v>26</v>
      </c>
      <c r="J59" t="s">
        <v>38</v>
      </c>
    </row>
    <row r="60" spans="1:10" x14ac:dyDescent="0.35">
      <c r="A60">
        <v>1059</v>
      </c>
      <c r="B60" s="13">
        <v>46185</v>
      </c>
      <c r="C60" t="s">
        <v>10</v>
      </c>
      <c r="D60" t="s">
        <v>11</v>
      </c>
      <c r="E60" t="s">
        <v>17</v>
      </c>
      <c r="F60">
        <v>7</v>
      </c>
      <c r="G60">
        <v>1200</v>
      </c>
      <c r="H60">
        <v>8400</v>
      </c>
      <c r="I60" t="s">
        <v>22</v>
      </c>
      <c r="J60" t="s">
        <v>39</v>
      </c>
    </row>
    <row r="61" spans="1:10" x14ac:dyDescent="0.35">
      <c r="A61">
        <v>1060</v>
      </c>
      <c r="B61" s="13">
        <v>46023</v>
      </c>
      <c r="C61" t="s">
        <v>31</v>
      </c>
      <c r="D61" t="s">
        <v>29</v>
      </c>
      <c r="E61" t="s">
        <v>21</v>
      </c>
      <c r="F61">
        <v>8</v>
      </c>
      <c r="G61">
        <v>3000</v>
      </c>
      <c r="H61">
        <v>24000</v>
      </c>
      <c r="I61" t="s">
        <v>26</v>
      </c>
      <c r="J61" t="s">
        <v>40</v>
      </c>
    </row>
    <row r="62" spans="1:10" x14ac:dyDescent="0.35">
      <c r="A62">
        <v>1061</v>
      </c>
      <c r="B62" s="13">
        <v>46057</v>
      </c>
      <c r="C62" t="s">
        <v>20</v>
      </c>
      <c r="D62" t="s">
        <v>11</v>
      </c>
      <c r="E62" t="s">
        <v>21</v>
      </c>
      <c r="F62">
        <v>5</v>
      </c>
      <c r="G62">
        <v>2500</v>
      </c>
      <c r="H62">
        <v>12500</v>
      </c>
      <c r="I62" t="s">
        <v>18</v>
      </c>
      <c r="J62" t="s">
        <v>40</v>
      </c>
    </row>
    <row r="63" spans="1:10" x14ac:dyDescent="0.35">
      <c r="A63">
        <v>1062</v>
      </c>
      <c r="B63" s="13">
        <v>46203</v>
      </c>
      <c r="C63" t="s">
        <v>34</v>
      </c>
      <c r="D63" t="s">
        <v>35</v>
      </c>
      <c r="E63" t="s">
        <v>12</v>
      </c>
      <c r="F63">
        <v>1</v>
      </c>
      <c r="G63">
        <v>1500</v>
      </c>
      <c r="H63">
        <v>1500</v>
      </c>
      <c r="I63" t="s">
        <v>18</v>
      </c>
      <c r="J63" t="s">
        <v>39</v>
      </c>
    </row>
    <row r="64" spans="1:10" x14ac:dyDescent="0.35">
      <c r="A64">
        <v>1063</v>
      </c>
      <c r="B64" s="13">
        <v>46156</v>
      </c>
      <c r="C64" t="s">
        <v>27</v>
      </c>
      <c r="D64" t="s">
        <v>25</v>
      </c>
      <c r="E64" t="s">
        <v>32</v>
      </c>
      <c r="F64">
        <v>3</v>
      </c>
      <c r="G64">
        <v>800</v>
      </c>
      <c r="H64">
        <v>2400</v>
      </c>
      <c r="I64" t="s">
        <v>18</v>
      </c>
      <c r="J64" t="s">
        <v>40</v>
      </c>
    </row>
    <row r="65" spans="1:10" x14ac:dyDescent="0.35">
      <c r="A65">
        <v>1064</v>
      </c>
      <c r="B65" s="13">
        <v>46142</v>
      </c>
      <c r="C65" t="s">
        <v>24</v>
      </c>
      <c r="D65" t="s">
        <v>25</v>
      </c>
      <c r="E65" t="s">
        <v>12</v>
      </c>
      <c r="F65">
        <v>4</v>
      </c>
      <c r="G65">
        <v>50000</v>
      </c>
      <c r="H65">
        <v>200000</v>
      </c>
      <c r="I65" t="s">
        <v>26</v>
      </c>
      <c r="J65" t="s">
        <v>40</v>
      </c>
    </row>
    <row r="66" spans="1:10" x14ac:dyDescent="0.35">
      <c r="A66">
        <v>1065</v>
      </c>
      <c r="B66" s="13">
        <v>46168</v>
      </c>
      <c r="C66" t="s">
        <v>10</v>
      </c>
      <c r="D66" t="s">
        <v>11</v>
      </c>
      <c r="E66" t="s">
        <v>32</v>
      </c>
      <c r="F66">
        <v>2</v>
      </c>
      <c r="G66">
        <v>1200</v>
      </c>
      <c r="H66">
        <v>2400</v>
      </c>
      <c r="I66" t="s">
        <v>13</v>
      </c>
      <c r="J66" t="s">
        <v>14</v>
      </c>
    </row>
    <row r="67" spans="1:10" x14ac:dyDescent="0.35">
      <c r="A67">
        <v>1066</v>
      </c>
      <c r="B67" s="13">
        <v>46201</v>
      </c>
      <c r="C67" t="s">
        <v>10</v>
      </c>
      <c r="D67" t="s">
        <v>11</v>
      </c>
      <c r="E67" t="s">
        <v>32</v>
      </c>
      <c r="F67">
        <v>4</v>
      </c>
      <c r="G67">
        <v>1200</v>
      </c>
      <c r="H67">
        <v>4800</v>
      </c>
      <c r="I67" t="s">
        <v>13</v>
      </c>
      <c r="J67" t="s">
        <v>14</v>
      </c>
    </row>
    <row r="68" spans="1:10" x14ac:dyDescent="0.35">
      <c r="A68">
        <v>1067</v>
      </c>
      <c r="B68" s="13">
        <v>46085</v>
      </c>
      <c r="C68" t="s">
        <v>24</v>
      </c>
      <c r="D68" t="s">
        <v>25</v>
      </c>
      <c r="E68" t="s">
        <v>17</v>
      </c>
      <c r="F68">
        <v>4</v>
      </c>
      <c r="G68">
        <v>50000</v>
      </c>
      <c r="H68">
        <v>200000</v>
      </c>
      <c r="I68" t="s">
        <v>13</v>
      </c>
      <c r="J68" t="s">
        <v>41</v>
      </c>
    </row>
    <row r="69" spans="1:10" x14ac:dyDescent="0.35">
      <c r="A69">
        <v>1068</v>
      </c>
      <c r="B69" s="13">
        <v>46146</v>
      </c>
      <c r="C69" t="s">
        <v>34</v>
      </c>
      <c r="D69" t="s">
        <v>35</v>
      </c>
      <c r="E69" t="s">
        <v>21</v>
      </c>
      <c r="F69">
        <v>2</v>
      </c>
      <c r="G69">
        <v>1500</v>
      </c>
      <c r="H69">
        <v>3000</v>
      </c>
      <c r="I69" t="s">
        <v>18</v>
      </c>
      <c r="J69" t="s">
        <v>37</v>
      </c>
    </row>
    <row r="70" spans="1:10" x14ac:dyDescent="0.35">
      <c r="A70">
        <v>1069</v>
      </c>
      <c r="B70" s="13">
        <v>46128</v>
      </c>
      <c r="C70" t="s">
        <v>28</v>
      </c>
      <c r="D70" t="s">
        <v>29</v>
      </c>
      <c r="E70" t="s">
        <v>17</v>
      </c>
      <c r="F70">
        <v>8</v>
      </c>
      <c r="G70">
        <v>7000</v>
      </c>
      <c r="H70">
        <v>56000</v>
      </c>
      <c r="I70" t="s">
        <v>18</v>
      </c>
      <c r="J70" t="s">
        <v>40</v>
      </c>
    </row>
    <row r="71" spans="1:10" x14ac:dyDescent="0.35">
      <c r="A71">
        <v>1070</v>
      </c>
      <c r="B71" s="13">
        <v>46159</v>
      </c>
      <c r="C71" t="s">
        <v>31</v>
      </c>
      <c r="D71" t="s">
        <v>29</v>
      </c>
      <c r="E71" t="s">
        <v>21</v>
      </c>
      <c r="F71">
        <v>7</v>
      </c>
      <c r="G71">
        <v>3000</v>
      </c>
      <c r="H71">
        <v>21000</v>
      </c>
      <c r="I71" t="s">
        <v>18</v>
      </c>
      <c r="J71" t="s">
        <v>14</v>
      </c>
    </row>
    <row r="72" spans="1:10" x14ac:dyDescent="0.35">
      <c r="A72">
        <v>1071</v>
      </c>
      <c r="B72" s="13">
        <v>46166</v>
      </c>
      <c r="C72" t="s">
        <v>31</v>
      </c>
      <c r="D72" t="s">
        <v>29</v>
      </c>
      <c r="E72" t="s">
        <v>32</v>
      </c>
      <c r="F72">
        <v>6</v>
      </c>
      <c r="G72">
        <v>3000</v>
      </c>
      <c r="H72">
        <v>18000</v>
      </c>
      <c r="I72" t="s">
        <v>13</v>
      </c>
      <c r="J72" t="s">
        <v>40</v>
      </c>
    </row>
    <row r="73" spans="1:10" x14ac:dyDescent="0.35">
      <c r="A73">
        <v>1072</v>
      </c>
      <c r="B73" s="13">
        <v>46064</v>
      </c>
      <c r="C73" t="s">
        <v>15</v>
      </c>
      <c r="D73" t="s">
        <v>16</v>
      </c>
      <c r="E73" t="s">
        <v>32</v>
      </c>
      <c r="F73">
        <v>2</v>
      </c>
      <c r="G73">
        <v>3500</v>
      </c>
      <c r="H73">
        <v>7000</v>
      </c>
      <c r="I73" t="s">
        <v>22</v>
      </c>
      <c r="J73" t="s">
        <v>19</v>
      </c>
    </row>
    <row r="74" spans="1:10" x14ac:dyDescent="0.35">
      <c r="A74">
        <v>1073</v>
      </c>
      <c r="B74" s="13">
        <v>46120</v>
      </c>
      <c r="C74" t="s">
        <v>31</v>
      </c>
      <c r="D74" t="s">
        <v>29</v>
      </c>
      <c r="E74" t="s">
        <v>17</v>
      </c>
      <c r="F74">
        <v>3</v>
      </c>
      <c r="G74">
        <v>3000</v>
      </c>
      <c r="H74">
        <v>9000</v>
      </c>
      <c r="I74" t="s">
        <v>22</v>
      </c>
      <c r="J74" t="s">
        <v>38</v>
      </c>
    </row>
    <row r="75" spans="1:10" x14ac:dyDescent="0.35">
      <c r="A75">
        <v>1074</v>
      </c>
      <c r="B75" s="13">
        <v>46045</v>
      </c>
      <c r="C75" t="s">
        <v>31</v>
      </c>
      <c r="D75" t="s">
        <v>29</v>
      </c>
      <c r="E75" t="s">
        <v>17</v>
      </c>
      <c r="F75">
        <v>1</v>
      </c>
      <c r="G75">
        <v>3000</v>
      </c>
      <c r="H75">
        <v>3000</v>
      </c>
      <c r="I75" t="s">
        <v>33</v>
      </c>
      <c r="J75" t="s">
        <v>38</v>
      </c>
    </row>
    <row r="76" spans="1:10" x14ac:dyDescent="0.35">
      <c r="A76">
        <v>1075</v>
      </c>
      <c r="B76" s="13">
        <v>46126</v>
      </c>
      <c r="C76" t="s">
        <v>31</v>
      </c>
      <c r="D76" t="s">
        <v>29</v>
      </c>
      <c r="E76" t="s">
        <v>32</v>
      </c>
      <c r="F76">
        <v>2</v>
      </c>
      <c r="G76">
        <v>3000</v>
      </c>
      <c r="H76">
        <v>6000</v>
      </c>
      <c r="I76" t="s">
        <v>22</v>
      </c>
      <c r="J76" t="s">
        <v>37</v>
      </c>
    </row>
    <row r="77" spans="1:10" x14ac:dyDescent="0.35">
      <c r="A77">
        <v>1076</v>
      </c>
      <c r="B77" s="13">
        <v>46094</v>
      </c>
      <c r="C77" t="s">
        <v>10</v>
      </c>
      <c r="D77" t="s">
        <v>11</v>
      </c>
      <c r="E77" t="s">
        <v>17</v>
      </c>
      <c r="F77">
        <v>2</v>
      </c>
      <c r="G77">
        <v>1200</v>
      </c>
      <c r="H77">
        <v>2400</v>
      </c>
      <c r="I77" t="s">
        <v>33</v>
      </c>
      <c r="J77" t="s">
        <v>41</v>
      </c>
    </row>
    <row r="78" spans="1:10" x14ac:dyDescent="0.35">
      <c r="A78">
        <v>1077</v>
      </c>
      <c r="B78" s="13">
        <v>46137</v>
      </c>
      <c r="C78" t="s">
        <v>34</v>
      </c>
      <c r="D78" t="s">
        <v>35</v>
      </c>
      <c r="E78" t="s">
        <v>12</v>
      </c>
      <c r="F78">
        <v>2</v>
      </c>
      <c r="G78">
        <v>1500</v>
      </c>
      <c r="H78">
        <v>3000</v>
      </c>
      <c r="I78" t="s">
        <v>13</v>
      </c>
      <c r="J78" t="s">
        <v>37</v>
      </c>
    </row>
    <row r="79" spans="1:10" x14ac:dyDescent="0.35">
      <c r="A79">
        <v>1078</v>
      </c>
      <c r="B79" s="13">
        <v>46095</v>
      </c>
      <c r="C79" t="s">
        <v>28</v>
      </c>
      <c r="D79" t="s">
        <v>29</v>
      </c>
      <c r="E79" t="s">
        <v>32</v>
      </c>
      <c r="F79">
        <v>4</v>
      </c>
      <c r="G79">
        <v>7000</v>
      </c>
      <c r="H79">
        <v>28000</v>
      </c>
      <c r="I79" t="s">
        <v>33</v>
      </c>
      <c r="J79" t="s">
        <v>30</v>
      </c>
    </row>
    <row r="80" spans="1:10" x14ac:dyDescent="0.35">
      <c r="A80">
        <v>1079</v>
      </c>
      <c r="B80" s="13">
        <v>46129</v>
      </c>
      <c r="C80" t="s">
        <v>10</v>
      </c>
      <c r="D80" t="s">
        <v>11</v>
      </c>
      <c r="E80" t="s">
        <v>12</v>
      </c>
      <c r="F80">
        <v>2</v>
      </c>
      <c r="G80">
        <v>1200</v>
      </c>
      <c r="H80">
        <v>2400</v>
      </c>
      <c r="I80" t="s">
        <v>26</v>
      </c>
      <c r="J80" t="s">
        <v>36</v>
      </c>
    </row>
    <row r="81" spans="1:10" x14ac:dyDescent="0.35">
      <c r="A81">
        <v>1080</v>
      </c>
      <c r="B81" s="13">
        <v>46199</v>
      </c>
      <c r="C81" t="s">
        <v>10</v>
      </c>
      <c r="D81" t="s">
        <v>11</v>
      </c>
      <c r="E81" t="s">
        <v>17</v>
      </c>
      <c r="F81">
        <v>6</v>
      </c>
      <c r="G81">
        <v>1200</v>
      </c>
      <c r="H81">
        <v>7200</v>
      </c>
      <c r="I81" t="s">
        <v>18</v>
      </c>
      <c r="J81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Dashboard</vt:lpstr>
      <vt:lpstr>Sheet5</vt:lpstr>
      <vt:lpstr>Sheet6</vt:lpstr>
      <vt:lpstr>Sheet7</vt:lpstr>
      <vt:lpstr>Sheet8</vt:lpstr>
      <vt:lpstr>Sheet9</vt:lpstr>
      <vt:lpstr>Sheet10</vt:lpstr>
      <vt:lpstr>Sales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2026-06-26T09:00:19Z</dcterms:created>
  <dcterms:modified xsi:type="dcterms:W3CDTF">2026-07-14T15:48:40Z</dcterms:modified>
</cp:coreProperties>
</file>